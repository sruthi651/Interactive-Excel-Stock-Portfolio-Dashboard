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glb" ContentType="model/gltf.binary"/>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16.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d.docs.live.net/39fb26c671d62247/"/>
    </mc:Choice>
  </mc:AlternateContent>
  <xr:revisionPtr revIDLastSave="55" documentId="14_{D955534E-66C4-4A6E-B866-F3407D483E05}" xr6:coauthVersionLast="47" xr6:coauthVersionMax="47" xr10:uidLastSave="{DB88D8B5-9B94-450E-BD41-95178993B3DC}"/>
  <bookViews>
    <workbookView xWindow="-108" yWindow="-108" windowWidth="23256" windowHeight="12456" firstSheet="1" activeTab="1" xr2:uid="{C5AE3701-49BA-4A2A-9B50-35AC403A97DA}"/>
  </bookViews>
  <sheets>
    <sheet name="Current prices" sheetId="3" state="hidden" r:id="rId1"/>
    <sheet name="Dashboard" sheetId="1" r:id="rId2"/>
    <sheet name="user_input" sheetId="9" r:id="rId3"/>
    <sheet name="Transaction" sheetId="2" r:id="rId4"/>
    <sheet name="Calculations" sheetId="5" state="hidden" r:id="rId5"/>
    <sheet name="pivot_backend" sheetId="8" state="hidden" r:id="rId6"/>
    <sheet name="stock master" sheetId="6" state="hidden" r:id="rId7"/>
  </sheets>
  <definedNames>
    <definedName name="_xlcn.WorksheetConnection_Book1tblPrices1" hidden="1">tblPrices[]</definedName>
    <definedName name="_xlcn.WorksheetConnection_Book1tblStocks1" hidden="1">tblStocks[]</definedName>
    <definedName name="_xlcn.WorksheetConnection_Book1tblTransactions1" hidden="1">tblTransactions[]</definedName>
    <definedName name="ExternalData_1" localSheetId="6" hidden="1">'stock master'!$A$1:$E$51</definedName>
    <definedName name="Slicer_Broker">#N/A</definedName>
    <definedName name="Slicer_Sector">#N/A</definedName>
    <definedName name="Slicer_Symbol">#N/A</definedName>
    <definedName name="Timeline_Date">#N/A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s>
  <extLst>
    <ext xmlns:x14="http://schemas.microsoft.com/office/spreadsheetml/2009/9/main" uri="{876F7934-8845-4945-9796-88D515C7AA90}">
      <x14:pivotCaches>
        <pivotCache cacheId="14"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5" r:id="rId26"/>
      </x15:timelineCachePivotCaches>
    </ext>
    <ext xmlns:x15="http://schemas.microsoft.com/office/spreadsheetml/2010/11/main" uri="{D0CA8CA8-9F24-4464-BF8E-62219DCF47F9}">
      <x15:timelineCacheRefs>
        <x15:timelineCacheRef r:id="rId27"/>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Transactions" name="tblTransactions" connection="WorksheetConnection_Book1!tblTransactions"/>
          <x15:modelTable id="tblStocks" name="tblStocks" connection="WorksheetConnection_Book1!tblStocks"/>
          <x15:modelTable id="tblPrices" name="tblPrices" connection="WorksheetConnection_Book1!tblPrices"/>
        </x15:modelTables>
        <x15:modelRelationships>
          <x15:modelRelationship fromTable="tblTransactions" fromColumn="Symbol" toTable="tblStocks" toColumn="Symbol"/>
          <x15:modelRelationship fromTable="tblPrices" fromColumn="Symbol" toTable="tblStocks" toColumn="Symbol"/>
        </x15:modelRelationships>
        <x15:extLst>
          <ext xmlns:x16="http://schemas.microsoft.com/office/spreadsheetml/2014/11/main" uri="{9835A34E-60A6-4A7C-AAB8-D5F71C897F49}">
            <x16:modelTimeGroupings>
              <x16:modelTimeGrouping tableName="tblTransactions" columnName="Date" columnId="Date">
                <x16:calculatedTimeColumn columnName="Date (Year)" columnId="Date (Year)" contentType="years" isSelected="0"/>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4" i="8" l="1"/>
  <c r="E24" i="8"/>
  <c r="J10" i="6" a="1"/>
  <c r="J10" i="6"/>
  <c r="G11" i="6"/>
  <c r="J19" i="6" a="1"/>
  <c r="J19" i="6"/>
  <c r="G20" i="6"/>
  <c r="H20" i="6"/>
  <c r="G29" i="6"/>
  <c r="H29" i="6"/>
  <c r="I29" i="6"/>
  <c r="G38" i="6"/>
  <c r="H38" i="6"/>
  <c r="I38" i="6"/>
  <c r="J38" i="6" a="1"/>
  <c r="J38" i="6" s="1"/>
  <c r="J46" i="6" a="1"/>
  <c r="J46" i="6"/>
  <c r="G47" i="6"/>
  <c r="I47" i="6" s="1"/>
  <c r="H47" i="6"/>
  <c r="AN5" i="8"/>
  <c r="H2" i="2"/>
  <c r="H3" i="2"/>
  <c r="H4" i="2"/>
  <c r="H5" i="2"/>
  <c r="H6" i="2"/>
  <c r="H7" i="2"/>
  <c r="H8" i="2"/>
  <c r="H9" i="2"/>
  <c r="H10" i="2"/>
  <c r="H11" i="2"/>
  <c r="AI4" i="8"/>
  <c r="A2" i="5" a="1"/>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P5" i="8"/>
  <c r="AR5" i="8"/>
  <c r="J13" i="8"/>
  <c r="H16" i="8"/>
  <c r="K13" i="8"/>
  <c r="H21" i="8"/>
  <c r="K38" i="6" l="1"/>
  <c r="L38" i="6" s="1"/>
  <c r="I20" i="6"/>
  <c r="K20" i="6" s="1"/>
  <c r="L20" i="6" s="1"/>
  <c r="A2" i="5"/>
  <c r="H11" i="6"/>
  <c r="I11" i="6" s="1"/>
  <c r="K11" i="6" s="1"/>
  <c r="L11" i="6" s="1"/>
  <c r="J13" i="6" a="1"/>
  <c r="J13" i="6" s="1"/>
  <c r="G18" i="6"/>
  <c r="H27" i="6"/>
  <c r="J29" i="6" a="1"/>
  <c r="J29" i="6" s="1"/>
  <c r="K29" i="6" s="1"/>
  <c r="L29" i="6" s="1"/>
  <c r="G34" i="6"/>
  <c r="I34" i="6" s="1"/>
  <c r="H43" i="6"/>
  <c r="J45" i="6" a="1"/>
  <c r="J45" i="6" s="1"/>
  <c r="G50" i="6"/>
  <c r="I50" i="6" s="1"/>
  <c r="H18" i="6"/>
  <c r="J20" i="6" a="1"/>
  <c r="J20" i="6" s="1"/>
  <c r="G25" i="6"/>
  <c r="H34" i="6"/>
  <c r="J36" i="6" a="1"/>
  <c r="J36" i="6" s="1"/>
  <c r="H50" i="6"/>
  <c r="G39" i="6"/>
  <c r="I39" i="6" s="1"/>
  <c r="J9" i="6" a="1"/>
  <c r="J9" i="6" s="1"/>
  <c r="J25" i="6" a="1"/>
  <c r="J25" i="6" s="1"/>
  <c r="G5" i="6"/>
  <c r="J32" i="6" a="1"/>
  <c r="J32" i="6" s="1"/>
  <c r="H46" i="6"/>
  <c r="G12" i="6"/>
  <c r="G28" i="6"/>
  <c r="I28" i="6" s="1"/>
  <c r="K28" i="6" s="1"/>
  <c r="L28" i="6" s="1"/>
  <c r="H37" i="6"/>
  <c r="J39" i="6" a="1"/>
  <c r="J39" i="6" s="1"/>
  <c r="G3" i="6"/>
  <c r="I3" i="6" s="1"/>
  <c r="K3" i="6" s="1"/>
  <c r="L3" i="6" s="1"/>
  <c r="G19" i="6"/>
  <c r="H28" i="6"/>
  <c r="G35" i="6"/>
  <c r="I35" i="6" s="1"/>
  <c r="H44" i="6"/>
  <c r="J4" i="6" a="1"/>
  <c r="J4" i="6" s="1"/>
  <c r="G9" i="6"/>
  <c r="G41" i="6"/>
  <c r="I41" i="6" s="1"/>
  <c r="H7" i="6"/>
  <c r="J41" i="6" a="1"/>
  <c r="J41" i="6" s="1"/>
  <c r="J16" i="6" a="1"/>
  <c r="J16" i="6" s="1"/>
  <c r="G37" i="6"/>
  <c r="J7" i="6" a="1"/>
  <c r="J7" i="6" s="1"/>
  <c r="J23" i="6" a="1"/>
  <c r="J23" i="6" s="1"/>
  <c r="J14" i="6" a="1"/>
  <c r="J14" i="6" s="1"/>
  <c r="J30" i="6" a="1"/>
  <c r="J30" i="6" s="1"/>
  <c r="H9" i="6"/>
  <c r="J11" i="6" a="1"/>
  <c r="J11" i="6" s="1"/>
  <c r="G16" i="6"/>
  <c r="H25" i="6"/>
  <c r="J27" i="6" a="1"/>
  <c r="J27" i="6" s="1"/>
  <c r="G32" i="6"/>
  <c r="H41" i="6"/>
  <c r="J43" i="6" a="1"/>
  <c r="J43" i="6" s="1"/>
  <c r="G48" i="6"/>
  <c r="G7" i="6"/>
  <c r="I7" i="6" s="1"/>
  <c r="H16" i="6"/>
  <c r="J18" i="6" a="1"/>
  <c r="J18" i="6" s="1"/>
  <c r="G23" i="6"/>
  <c r="I23" i="6" s="1"/>
  <c r="H32" i="6"/>
  <c r="J34" i="6" a="1"/>
  <c r="J34" i="6" s="1"/>
  <c r="H48" i="6"/>
  <c r="J50" i="6" a="1"/>
  <c r="J50" i="6" s="1"/>
  <c r="G14" i="6"/>
  <c r="H23" i="6"/>
  <c r="G30" i="6"/>
  <c r="H39" i="6"/>
  <c r="G46" i="6"/>
  <c r="H14" i="6"/>
  <c r="G21" i="6"/>
  <c r="H30" i="6"/>
  <c r="J48" i="6" a="1"/>
  <c r="J48" i="6" s="1"/>
  <c r="H5" i="6"/>
  <c r="H21" i="6"/>
  <c r="G44" i="6"/>
  <c r="I44" i="6" s="1"/>
  <c r="K44" i="6" s="1"/>
  <c r="L44" i="6" s="1"/>
  <c r="H12" i="6"/>
  <c r="H3" i="6"/>
  <c r="J21" i="6" a="1"/>
  <c r="J21" i="6" s="1"/>
  <c r="G26" i="6"/>
  <c r="I26" i="6" s="1"/>
  <c r="K26" i="6" s="1"/>
  <c r="L26" i="6" s="1"/>
  <c r="H35" i="6"/>
  <c r="J12" i="6" a="1"/>
  <c r="J12" i="6" s="1"/>
  <c r="G17" i="6"/>
  <c r="H26" i="6"/>
  <c r="J44" i="6" a="1"/>
  <c r="J44" i="6" s="1"/>
  <c r="J3" i="6" a="1"/>
  <c r="J3" i="6" s="1"/>
  <c r="G8" i="6"/>
  <c r="H17" i="6"/>
  <c r="J35" i="6" a="1"/>
  <c r="J35" i="6" s="1"/>
  <c r="G40" i="6"/>
  <c r="G49" i="6"/>
  <c r="H8" i="6"/>
  <c r="J26" i="6" a="1"/>
  <c r="J26" i="6" s="1"/>
  <c r="G31" i="6"/>
  <c r="I31" i="6" s="1"/>
  <c r="K31" i="6" s="1"/>
  <c r="L31" i="6" s="1"/>
  <c r="H40" i="6"/>
  <c r="H49" i="6"/>
  <c r="J17" i="6" a="1"/>
  <c r="J17" i="6" s="1"/>
  <c r="G22" i="6"/>
  <c r="H31" i="6"/>
  <c r="J8" i="6" a="1"/>
  <c r="J8" i="6" s="1"/>
  <c r="G13" i="6"/>
  <c r="H22" i="6"/>
  <c r="J40" i="6" a="1"/>
  <c r="J40" i="6" s="1"/>
  <c r="G45" i="6"/>
  <c r="J49" i="6" a="1"/>
  <c r="J49" i="6" s="1"/>
  <c r="G4" i="6"/>
  <c r="H13" i="6"/>
  <c r="J31" i="6" a="1"/>
  <c r="J31" i="6" s="1"/>
  <c r="G36" i="6"/>
  <c r="I36" i="6" s="1"/>
  <c r="K36" i="6" s="1"/>
  <c r="L36" i="6" s="1"/>
  <c r="H45" i="6"/>
  <c r="H4" i="6"/>
  <c r="J22" i="6" a="1"/>
  <c r="J22" i="6" s="1"/>
  <c r="G27" i="6"/>
  <c r="H36" i="6"/>
  <c r="J28" i="6" a="1"/>
  <c r="J28" i="6" s="1"/>
  <c r="H10" i="6"/>
  <c r="G43" i="6"/>
  <c r="J37" i="6" a="1"/>
  <c r="J37" i="6" s="1"/>
  <c r="H19" i="6"/>
  <c r="G10" i="6"/>
  <c r="I10" i="6" s="1"/>
  <c r="K10" i="6" s="1"/>
  <c r="L10" i="6" s="1"/>
  <c r="J51" i="6" a="1"/>
  <c r="J51" i="6" s="1"/>
  <c r="J6" i="6" a="1"/>
  <c r="J6" i="6" s="1"/>
  <c r="J15" i="6" a="1"/>
  <c r="J15" i="6" s="1"/>
  <c r="H51" i="6"/>
  <c r="J24" i="6" a="1"/>
  <c r="J24" i="6" s="1"/>
  <c r="H6" i="6"/>
  <c r="G51" i="6"/>
  <c r="I51" i="6" s="1"/>
  <c r="K51" i="6" s="1"/>
  <c r="L51" i="6" s="1"/>
  <c r="J42" i="6" a="1"/>
  <c r="J42" i="6" s="1"/>
  <c r="J33" i="6" a="1"/>
  <c r="J33" i="6" s="1"/>
  <c r="H15" i="6"/>
  <c r="G6" i="6"/>
  <c r="H24" i="6"/>
  <c r="G15" i="6"/>
  <c r="I15" i="6" s="1"/>
  <c r="H42" i="6"/>
  <c r="H33" i="6"/>
  <c r="G24" i="6"/>
  <c r="I24" i="6" s="1"/>
  <c r="J47" i="6" a="1"/>
  <c r="J47" i="6" s="1"/>
  <c r="K47" i="6" s="1"/>
  <c r="L47" i="6" s="1"/>
  <c r="G42" i="6"/>
  <c r="I42" i="6" s="1"/>
  <c r="G33" i="6"/>
  <c r="I33" i="6" s="1"/>
  <c r="K33" i="6" s="1"/>
  <c r="L33" i="6" s="1"/>
  <c r="J5" i="6" a="1"/>
  <c r="J5" i="6" s="1"/>
  <c r="K14" i="8"/>
  <c r="K50" i="6" l="1"/>
  <c r="L50" i="6" s="1"/>
  <c r="K23" i="6"/>
  <c r="L23" i="6" s="1"/>
  <c r="I12" i="6"/>
  <c r="K12" i="6" s="1"/>
  <c r="L12" i="6" s="1"/>
  <c r="K34" i="6"/>
  <c r="L34" i="6" s="1"/>
  <c r="I49" i="6"/>
  <c r="K49" i="6" s="1"/>
  <c r="L49" i="6" s="1"/>
  <c r="I37" i="6"/>
  <c r="K37" i="6" s="1"/>
  <c r="L37" i="6" s="1"/>
  <c r="K42" i="6"/>
  <c r="L42" i="6" s="1"/>
  <c r="I4" i="6"/>
  <c r="K4" i="6" s="1"/>
  <c r="L4" i="6" s="1"/>
  <c r="I40" i="6"/>
  <c r="K40" i="6" s="1"/>
  <c r="L40" i="6" s="1"/>
  <c r="K7" i="6"/>
  <c r="L7" i="6" s="1"/>
  <c r="I5" i="6"/>
  <c r="K5" i="6" s="1"/>
  <c r="L5" i="6" s="1"/>
  <c r="I18" i="6"/>
  <c r="K18" i="6" s="1"/>
  <c r="L18" i="6" s="1"/>
  <c r="K24" i="6"/>
  <c r="L24" i="6" s="1"/>
  <c r="I45" i="6"/>
  <c r="K45" i="6" s="1"/>
  <c r="L45" i="6" s="1"/>
  <c r="I48" i="6"/>
  <c r="K48" i="6" s="1"/>
  <c r="L48" i="6" s="1"/>
  <c r="I8" i="6"/>
  <c r="K8" i="6" s="1"/>
  <c r="L8" i="6" s="1"/>
  <c r="I21" i="6"/>
  <c r="K21" i="6" s="1"/>
  <c r="L21" i="6" s="1"/>
  <c r="K41" i="6"/>
  <c r="L41" i="6" s="1"/>
  <c r="I9" i="6"/>
  <c r="K9" i="6" s="1"/>
  <c r="L9" i="6" s="1"/>
  <c r="K39" i="6"/>
  <c r="L39" i="6" s="1"/>
  <c r="G2" i="6"/>
  <c r="H2" i="6"/>
  <c r="J2" i="6" a="1"/>
  <c r="J2" i="6" s="1"/>
  <c r="K15" i="6"/>
  <c r="L15" i="6" s="1"/>
  <c r="I43" i="6"/>
  <c r="K43" i="6" s="1"/>
  <c r="L43" i="6" s="1"/>
  <c r="I13" i="6"/>
  <c r="K13" i="6" s="1"/>
  <c r="L13" i="6" s="1"/>
  <c r="I46" i="6"/>
  <c r="K46" i="6" s="1"/>
  <c r="L46" i="6" s="1"/>
  <c r="I32" i="6"/>
  <c r="K32" i="6" s="1"/>
  <c r="L32" i="6" s="1"/>
  <c r="I6" i="6"/>
  <c r="K6" i="6" s="1"/>
  <c r="L6" i="6" s="1"/>
  <c r="I17" i="6"/>
  <c r="K17" i="6" s="1"/>
  <c r="L17" i="6" s="1"/>
  <c r="I30" i="6"/>
  <c r="K30" i="6" s="1"/>
  <c r="L30" i="6" s="1"/>
  <c r="K35" i="6"/>
  <c r="L35" i="6" s="1"/>
  <c r="I22" i="6"/>
  <c r="K22" i="6" s="1"/>
  <c r="L22" i="6" s="1"/>
  <c r="I16" i="6"/>
  <c r="K16" i="6" s="1"/>
  <c r="L16" i="6" s="1"/>
  <c r="I25" i="6"/>
  <c r="K25" i="6" s="1"/>
  <c r="L25" i="6" s="1"/>
  <c r="I27" i="6"/>
  <c r="K27" i="6" s="1"/>
  <c r="L27" i="6" s="1"/>
  <c r="I14" i="6"/>
  <c r="K14" i="6" s="1"/>
  <c r="L14" i="6" s="1"/>
  <c r="I19" i="6"/>
  <c r="K19" i="6" s="1"/>
  <c r="L19" i="6" s="1"/>
  <c r="I2" i="5"/>
  <c r="I2" i="6" l="1"/>
  <c r="K2" i="6" s="1"/>
  <c r="L2" i="6" s="1"/>
  <c r="H2" i="5"/>
  <c r="J2" i="5" s="1"/>
  <c r="N2" i="5" l="1"/>
  <c r="M2" i="5"/>
  <c r="L2" i="5"/>
  <c r="K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210A739-5967-41B5-8881-6F6518A97757}" keepAlive="1" name="Query - tblPrices" description="Connection to the 'tblPrices' query in the workbook." type="5" refreshedVersion="0" background="1">
    <dbPr connection="Provider=Microsoft.Mashup.OleDb.1;Data Source=$Workbook$;Location=tblPrices;Extended Properties=&quot;&quot;" command="SELECT * FROM [tblPrices]"/>
  </connection>
  <connection id="2" xr16:uid="{8E4F762B-F9D4-403C-B3AD-EE4B18E8A677}" keepAlive="1" name="Query - tblStocks" description="Connection to the 'tblStocks' query in the workbook." type="5" refreshedVersion="0" background="1">
    <dbPr connection="Provider=Microsoft.Mashup.OleDb.1;Data Source=$Workbook$;Location=tblStocks;Extended Properties=&quot;&quot;" command="SELECT * FROM [tblStocks]"/>
  </connection>
  <connection id="3" xr16:uid="{FB7BE404-01F1-455F-AE81-137766F0BD1B}" keepAlive="1" interval="1" name="Query - tblTransactions" description="Connection to the 'tblTransactions' query in the workbook." type="5" refreshedVersion="0" background="1" refreshOnLoad="1" saveData="1">
    <dbPr connection="Provider=Microsoft.Mashup.OleDb.1;Data Source=$Workbook$;Location=tblTransactions;Extended Properties=&quot;&quot;" command="SELECT * FROM [tblTransactions]"/>
  </connection>
  <connection id="4" xr16:uid="{82AEDB2C-8C8E-42CB-89C2-31FBAE1A864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B0AB552B-876C-48E9-AE47-71DFC9D0D832}" name="WorksheetConnection_Book1!tblPrices" type="102" refreshedVersion="8" minRefreshableVersion="5">
    <extLst>
      <ext xmlns:x15="http://schemas.microsoft.com/office/spreadsheetml/2010/11/main" uri="{DE250136-89BD-433C-8126-D09CA5730AF9}">
        <x15:connection id="tblPrices">
          <x15:rangePr sourceName="_xlcn.WorksheetConnection_Book1tblPrices1"/>
        </x15:connection>
      </ext>
    </extLst>
  </connection>
  <connection id="6" xr16:uid="{43CA77B4-2366-415C-BDB9-3D6D45C69661}" name="WorksheetConnection_Book1!tblStocks" type="102" refreshedVersion="8" minRefreshableVersion="5">
    <extLst>
      <ext xmlns:x15="http://schemas.microsoft.com/office/spreadsheetml/2010/11/main" uri="{DE250136-89BD-433C-8126-D09CA5730AF9}">
        <x15:connection id="tblStocks">
          <x15:rangePr sourceName="_xlcn.WorksheetConnection_Book1tblStocks1"/>
        </x15:connection>
      </ext>
    </extLst>
  </connection>
  <connection id="7" xr16:uid="{097C2489-9054-4BED-ADDF-3F381AF7D8F1}" name="WorksheetConnection_Book1!tblTransactions" type="102" refreshedVersion="8" minRefreshableVersion="5">
    <extLst>
      <ext xmlns:x15="http://schemas.microsoft.com/office/spreadsheetml/2010/11/main" uri="{DE250136-89BD-433C-8126-D09CA5730AF9}">
        <x15:connection id="tblTransactions">
          <x15:rangePr sourceName="_xlcn.WorksheetConnection_Book1tblTransaction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<sst xmlns="http://schemas.openxmlformats.org/spreadsheetml/2006/main" count="433" uniqueCount="223">
  <si>
    <t>Transaction ID</t>
  </si>
  <si>
    <t>Date</t>
  </si>
  <si>
    <t>Quantity</t>
  </si>
  <si>
    <t>Broker</t>
  </si>
  <si>
    <t>Buy/Sell</t>
  </si>
  <si>
    <t>#</t>
  </si>
  <si>
    <t>Symbol</t>
  </si>
  <si>
    <t>Sector</t>
  </si>
  <si>
    <t>Industry</t>
  </si>
  <si>
    <t>Adani Enterprises</t>
  </si>
  <si>
    <t>ADANIENT</t>
  </si>
  <si>
    <t>Energy</t>
  </si>
  <si>
    <t>Mining &amp; Integrated Resources</t>
  </si>
  <si>
    <t>Adani Ports &amp; SEZ</t>
  </si>
  <si>
    <t>ADANIPORTS</t>
  </si>
  <si>
    <t>Industrials</t>
  </si>
  <si>
    <t>Ports &amp; Logistics</t>
  </si>
  <si>
    <t>Apollo Hospitals</t>
  </si>
  <si>
    <t>APOLLOHOSP</t>
  </si>
  <si>
    <t>Healthcare</t>
  </si>
  <si>
    <t>Hospitals &amp; Healthcare Services</t>
  </si>
  <si>
    <t>Asian Paints</t>
  </si>
  <si>
    <t>ASIANPAINT</t>
  </si>
  <si>
    <t>Consumer Staples</t>
  </si>
  <si>
    <t>Paints &amp; Coatings</t>
  </si>
  <si>
    <t>Axis Bank</t>
  </si>
  <si>
    <t>AXISBANK</t>
  </si>
  <si>
    <t>Financials</t>
  </si>
  <si>
    <t>Private Sector Bank</t>
  </si>
  <si>
    <t>Bajaj Auto</t>
  </si>
  <si>
    <t>BAJAJ-AUTO</t>
  </si>
  <si>
    <t>Automobile</t>
  </si>
  <si>
    <t>Two &amp; Three Wheelers</t>
  </si>
  <si>
    <t>Bajaj Finance</t>
  </si>
  <si>
    <t>BAJFINANCE</t>
  </si>
  <si>
    <t>Non-Banking Financial Company</t>
  </si>
  <si>
    <t>Bajaj Finserv</t>
  </si>
  <si>
    <t>BAJAJFINSV</t>
  </si>
  <si>
    <t>Financial Services Conglomerate</t>
  </si>
  <si>
    <t>Bharat Electronics</t>
  </si>
  <si>
    <t>BEL</t>
  </si>
  <si>
    <t>Defence Electronics</t>
  </si>
  <si>
    <t>BPCL</t>
  </si>
  <si>
    <t>Oil Refining &amp; Marketing</t>
  </si>
  <si>
    <t>Bharti Airtel</t>
  </si>
  <si>
    <t>BHARTIARTL</t>
  </si>
  <si>
    <t>Telecom</t>
  </si>
  <si>
    <t>Telecommunications</t>
  </si>
  <si>
    <t>Britannia Industries</t>
  </si>
  <si>
    <t>BRITANNIA</t>
  </si>
  <si>
    <t>Food Products &amp; Biscuits</t>
  </si>
  <si>
    <t>Cipla</t>
  </si>
  <si>
    <t>CIPLA</t>
  </si>
  <si>
    <t>Pharmaceuticals</t>
  </si>
  <si>
    <t>Coal India</t>
  </si>
  <si>
    <t>COALINDIA</t>
  </si>
  <si>
    <t>Coal Mining</t>
  </si>
  <si>
    <t>Dr. Reddy's Laboratories</t>
  </si>
  <si>
    <t>DRREDDY</t>
  </si>
  <si>
    <t>Eicher Motors</t>
  </si>
  <si>
    <t>EICHERMOT</t>
  </si>
  <si>
    <t>Commercial Vehicles &amp; Two Wheelers</t>
  </si>
  <si>
    <t>Grasim Industries</t>
  </si>
  <si>
    <t>GRASIM</t>
  </si>
  <si>
    <t>Materials</t>
  </si>
  <si>
    <t>Diversified Cement &amp; Chemicals</t>
  </si>
  <si>
    <t>HCL Technologies</t>
  </si>
  <si>
    <t>HCLTECH</t>
  </si>
  <si>
    <t>Information Technology</t>
  </si>
  <si>
    <t>IT Services &amp; Consulting</t>
  </si>
  <si>
    <t>HDFC Bank</t>
  </si>
  <si>
    <t>HDFCBANK</t>
  </si>
  <si>
    <t>HDFC Life Insurance</t>
  </si>
  <si>
    <t>HDFCLIFE</t>
  </si>
  <si>
    <t>Life Insurance</t>
  </si>
  <si>
    <t>Hero MotoCorp</t>
  </si>
  <si>
    <t>HEROMOTOCO</t>
  </si>
  <si>
    <t>Two Wheelers</t>
  </si>
  <si>
    <t>Hindalco Industries</t>
  </si>
  <si>
    <t>HINDALCO</t>
  </si>
  <si>
    <t>Aluminium &amp; Copper</t>
  </si>
  <si>
    <t>Hindustan Unilever</t>
  </si>
  <si>
    <t>HINDUNILVR</t>
  </si>
  <si>
    <t>FMCG – Personal &amp; Home Care</t>
  </si>
  <si>
    <t>ICICI Bank</t>
  </si>
  <si>
    <t>ICICIBANK</t>
  </si>
  <si>
    <t>IndusInd Bank</t>
  </si>
  <si>
    <t>INDUSINDBK</t>
  </si>
  <si>
    <t>Infosys</t>
  </si>
  <si>
    <t>INFY</t>
  </si>
  <si>
    <t>ITC</t>
  </si>
  <si>
    <t>Cigarettes, FMCG &amp; Hotels</t>
  </si>
  <si>
    <t>JSW Steel</t>
  </si>
  <si>
    <t>JSWSTEEL</t>
  </si>
  <si>
    <t>Steel Manufacturing</t>
  </si>
  <si>
    <t>Kotak Mahindra Bank</t>
  </si>
  <si>
    <t>KOTAKBANK</t>
  </si>
  <si>
    <t>Larsen &amp; Toubro</t>
  </si>
  <si>
    <t>LT</t>
  </si>
  <si>
    <t>Engineering &amp; Construction Conglomerate</t>
  </si>
  <si>
    <t>Mahindra &amp; Mahindra</t>
  </si>
  <si>
    <t>M&amp;M</t>
  </si>
  <si>
    <t>Utility Vehicles &amp; Tractors</t>
  </si>
  <si>
    <t>Maruti Suzuki</t>
  </si>
  <si>
    <t>MARUTI</t>
  </si>
  <si>
    <t>Passenger Vehicles</t>
  </si>
  <si>
    <t>Nestle India</t>
  </si>
  <si>
    <t>NESTLEIND</t>
  </si>
  <si>
    <t>Food &amp; Beverages</t>
  </si>
  <si>
    <t>NTPC</t>
  </si>
  <si>
    <t>Utilities</t>
  </si>
  <si>
    <t>Power Generation</t>
  </si>
  <si>
    <t>Oil &amp; Natural Gas Corp</t>
  </si>
  <si>
    <t>ONGC</t>
  </si>
  <si>
    <t>Crude Oil &amp; Natural Gas Exploration</t>
  </si>
  <si>
    <t>Power Grid Corporation</t>
  </si>
  <si>
    <t>POWERGRID</t>
  </si>
  <si>
    <t>Power Transmission</t>
  </si>
  <si>
    <t>Reliance Industries</t>
  </si>
  <si>
    <t>RELIANCE</t>
  </si>
  <si>
    <t>Integrated Oil, Gas &amp; Retail Conglomerate</t>
  </si>
  <si>
    <t>SBI Life Insurance</t>
  </si>
  <si>
    <t>SBILIFE</t>
  </si>
  <si>
    <t>Shriram Finance</t>
  </si>
  <si>
    <t>SHRIRAMFIN</t>
  </si>
  <si>
    <t>State Bank of India</t>
  </si>
  <si>
    <t>SBIN</t>
  </si>
  <si>
    <t>Public Sector Bank</t>
  </si>
  <si>
    <t>Sun Pharmaceutical</t>
  </si>
  <si>
    <t>SUNPHARMA</t>
  </si>
  <si>
    <t>Tata Consultancy Services</t>
  </si>
  <si>
    <t>TCS</t>
  </si>
  <si>
    <t>Tata Consumer Products</t>
  </si>
  <si>
    <t>TATACONSUM</t>
  </si>
  <si>
    <t>Beverages &amp; Food</t>
  </si>
  <si>
    <t>Tata Motors</t>
  </si>
  <si>
    <t>TATAMOTORS</t>
  </si>
  <si>
    <t>Commercial &amp; Passenger Vehicles</t>
  </si>
  <si>
    <t>Tata Steel</t>
  </si>
  <si>
    <t>TATASTEEL</t>
  </si>
  <si>
    <t>Tech Mahindra</t>
  </si>
  <si>
    <t>TECHM</t>
  </si>
  <si>
    <t>Titan Company</t>
  </si>
  <si>
    <t>TITAN</t>
  </si>
  <si>
    <t>Consumer Discretionary</t>
  </si>
  <si>
    <t>Jewellery, Watches &amp; Eyewear</t>
  </si>
  <si>
    <t>Trent</t>
  </si>
  <si>
    <t>TRENT</t>
  </si>
  <si>
    <t>Retail – Fashion &amp; Lifestyle</t>
  </si>
  <si>
    <t>UltraTech Cement</t>
  </si>
  <si>
    <t>ULTRACEMCO</t>
  </si>
  <si>
    <t>Cement Manufacturing</t>
  </si>
  <si>
    <t>Wipro</t>
  </si>
  <si>
    <t>WIPRO</t>
  </si>
  <si>
    <t>Company Name</t>
  </si>
  <si>
    <t>Current price</t>
  </si>
  <si>
    <t>Last update</t>
  </si>
  <si>
    <t>Charges</t>
  </si>
  <si>
    <t>Exchange</t>
  </si>
  <si>
    <t>NSE</t>
  </si>
  <si>
    <t>Holdings</t>
  </si>
  <si>
    <t>Current Price</t>
  </si>
  <si>
    <t>Market Value</t>
  </si>
  <si>
    <t>Avg Cost</t>
  </si>
  <si>
    <t>Gain/Loss</t>
  </si>
  <si>
    <t>Return %</t>
  </si>
  <si>
    <t>Price/Share</t>
  </si>
  <si>
    <t>T001</t>
  </si>
  <si>
    <t>Buy</t>
  </si>
  <si>
    <t>Zerodha</t>
  </si>
  <si>
    <t>T002</t>
  </si>
  <si>
    <t>T003</t>
  </si>
  <si>
    <t>Groww</t>
  </si>
  <si>
    <t>T004</t>
  </si>
  <si>
    <t>T005</t>
  </si>
  <si>
    <t>Sell</t>
  </si>
  <si>
    <t>Net Amount</t>
  </si>
  <si>
    <t>Total Invested</t>
  </si>
  <si>
    <t>Total Gain/Loss</t>
  </si>
  <si>
    <t>Row Labels</t>
  </si>
  <si>
    <t>Grand Total</t>
  </si>
  <si>
    <t>Sum of Quantity</t>
  </si>
  <si>
    <t>Total Transaction Value</t>
  </si>
  <si>
    <t>Stock Count</t>
  </si>
  <si>
    <t>Total transaction value</t>
  </si>
  <si>
    <t>Stock count</t>
  </si>
  <si>
    <t>for donut and that bar chart</t>
  </si>
  <si>
    <t>for top holdings</t>
  </si>
  <si>
    <t>for monthly investment</t>
  </si>
  <si>
    <t>for best and worst</t>
  </si>
  <si>
    <t>Field</t>
  </si>
  <si>
    <t>Input</t>
  </si>
  <si>
    <t>Angel One</t>
  </si>
  <si>
    <t>Upstox</t>
  </si>
  <si>
    <t>ICICIdirect</t>
  </si>
  <si>
    <t>Total Return %</t>
  </si>
  <si>
    <t>portfolio</t>
  </si>
  <si>
    <t>Portfolio Growth Trend</t>
  </si>
  <si>
    <t>2026</t>
  </si>
  <si>
    <t>buy sell</t>
  </si>
  <si>
    <t>Buy Value</t>
  </si>
  <si>
    <t>Sell Value</t>
  </si>
  <si>
    <t>T006</t>
  </si>
  <si>
    <t>Feb</t>
  </si>
  <si>
    <t>for best performer</t>
  </si>
  <si>
    <t>for worst performer</t>
  </si>
  <si>
    <t>Portfolio Weight %</t>
  </si>
  <si>
    <t>Mar</t>
  </si>
  <si>
    <t>date</t>
  </si>
  <si>
    <t>Apr</t>
  </si>
  <si>
    <t>T007</t>
  </si>
  <si>
    <t>T008</t>
  </si>
  <si>
    <t>T009</t>
  </si>
  <si>
    <t>T010</t>
  </si>
  <si>
    <t>May</t>
  </si>
  <si>
    <t>gain/loss</t>
  </si>
  <si>
    <t>total investment</t>
  </si>
  <si>
    <t>portfolio value</t>
  </si>
  <si>
    <t>Portfolio Valu</t>
  </si>
  <si>
    <t>2Total Gain/Loss</t>
  </si>
  <si>
    <t>2Stock Return %</t>
  </si>
  <si>
    <t>Jan</t>
  </si>
  <si>
    <t>2Monthly 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</si>
</sst>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0.00%;\-0.00%;0.00%"/>
    <numFmt numFmtId="166" formatCode="&quot;$&quot;#,##0.00"/>
  </numFmts>
  <fonts count="1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20"/>
      <color theme="1"/>
      <name val="Calibri"/>
      <family val="2"/>
      <scheme val="minor"/>
    </font>
    <font>
      <sz val="14"/>
      <color theme="1"/>
      <name val="Calibri"/>
      <family val="2"/>
      <scheme val="minor"/>
    </font>
    <font>
      <sz val="14"/>
      <color rgb="FF000000"/>
      <name val="Calibri"/>
      <family val="2"/>
      <scheme val="minor"/>
    </font>
    <font>
      <sz val="16"/>
      <color theme="1"/>
      <name val="Calibri"/>
      <family val="2"/>
      <scheme val="minor"/>
    </font>
    <font>
      <sz val="10"/>
      <color theme="1"/>
      <name val="Calibri"/>
      <family val="2"/>
      <scheme val="minor"/>
    </font>
    <font>
      <b/>
      <sz val="14"/>
      <color theme="1"/>
      <name val="Calibri"/>
      <family val="2"/>
      <scheme val="minor"/>
    </font>
    <font>
      <sz val="8"/>
      <name val="Calibri"/>
      <family val="2"/>
      <scheme val="minor"/>
    </font>
  </fonts>
  <fills count="6">
    <fill>
      <patternFill patternType="none"/>
    </fill>
    <fill>
      <patternFill patternType="gray125"/>
    </fill>
    <fill>
      <patternFill patternType="solid">
        <fgColor theme="9" tint="-0.249977111117893"/>
        <bgColor indexed="64"/>
      </patternFill>
    </fill>
    <fill>
      <patternFill patternType="solid">
        <fgColor rgb="FF548235"/>
        <bgColor rgb="FF000000"/>
      </patternFill>
    </fill>
    <fill>
      <patternFill patternType="solid">
        <fgColor theme="9" tint="0.59999389629810485"/>
        <bgColor indexed="64"/>
      </patternFill>
    </fill>
    <fill>
      <patternFill patternType="solid">
        <fgColor theme="9" tint="0.39997558519241921"/>
        <bgColor indexed="64"/>
      </patternFill>
    </fill>
  </fills>
  <borders count="4">
    <border>
      <left/>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43">
    <xf numFmtId="0" fontId="0" fillId="0" borderId="0" xfId="0"/>
    <xf numFmtId="0" fontId="2" fillId="0" borderId="0" xfId="0" applyFont="1"/>
    <xf numFmtId="0" fontId="2" fillId="0" borderId="0" xfId="0" applyFont="1" applyAlignment="1">
      <alignment vertical="center" wrapText="1"/>
    </xf>
    <xf numFmtId="10" fontId="2" fillId="0" borderId="0" xfId="1" applyNumberFormat="1" applyFont="1" applyAlignment="1">
      <alignment vertical="center" wrapText="1"/>
    </xf>
    <xf numFmtId="10" fontId="0" fillId="0" borderId="0" xfId="1" applyNumberFormat="1" applyFont="1"/>
    <xf numFmtId="0" fontId="4" fillId="0" borderId="0" xfId="0" applyFont="1"/>
    <xf numFmtId="0" fontId="5" fillId="2" borderId="1" xfId="0" applyFont="1" applyFill="1" applyBorder="1" applyAlignment="1">
      <alignment horizontal="center" vertical="top"/>
    </xf>
    <xf numFmtId="0" fontId="2" fillId="0" borderId="0" xfId="0" applyFont="1" applyAlignment="1">
      <alignment horizontal="center" vertical="center" wrapText="1"/>
    </xf>
    <xf numFmtId="0" fontId="2" fillId="0" borderId="0" xfId="0" applyFont="1" applyAlignment="1">
      <alignment horizontal="right" vertical="center" wrapText="1"/>
    </xf>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5" fillId="0" borderId="0" xfId="0" applyFont="1"/>
    <xf numFmtId="0" fontId="5" fillId="0" borderId="0" xfId="0" applyFont="1" applyAlignment="1">
      <alignment horizontal="center"/>
    </xf>
    <xf numFmtId="0" fontId="4" fillId="0" borderId="0" xfId="0" applyFont="1" applyAlignment="1">
      <alignment horizontal="center"/>
    </xf>
    <xf numFmtId="165" fontId="0" fillId="0" borderId="0" xfId="0" applyNumberFormat="1"/>
    <xf numFmtId="164" fontId="0" fillId="0" borderId="0" xfId="0" applyNumberFormat="1"/>
    <xf numFmtId="0" fontId="6" fillId="3" borderId="1" xfId="0" applyFont="1" applyFill="1" applyBorder="1" applyAlignment="1">
      <alignment horizontal="center" vertical="center"/>
    </xf>
    <xf numFmtId="0" fontId="6" fillId="3" borderId="1" xfId="0" applyFont="1" applyFill="1" applyBorder="1" applyAlignment="1">
      <alignment horizontal="center"/>
    </xf>
    <xf numFmtId="0" fontId="9" fillId="4" borderId="2" xfId="0" applyFont="1" applyFill="1" applyBorder="1" applyAlignment="1">
      <alignment horizontal="center" vertical="center" wrapText="1"/>
    </xf>
    <xf numFmtId="0" fontId="7" fillId="2" borderId="2" xfId="0" applyFont="1" applyFill="1" applyBorder="1" applyAlignment="1">
      <alignment vertical="center" wrapText="1"/>
    </xf>
    <xf numFmtId="0" fontId="0" fillId="0" borderId="0" xfId="0" applyAlignment="1">
      <alignment horizontal="left" indent="1"/>
    </xf>
    <xf numFmtId="22" fontId="0" fillId="0" borderId="0" xfId="0" applyNumberFormat="1"/>
    <xf numFmtId="0" fontId="0" fillId="0" borderId="0" xfId="0" applyAlignment="1">
      <alignment vertical="center"/>
    </xf>
    <xf numFmtId="166" fontId="0" fillId="0" borderId="0" xfId="0" applyNumberFormat="1"/>
    <xf numFmtId="14" fontId="5" fillId="5" borderId="3" xfId="0" applyNumberFormat="1" applyFont="1" applyFill="1" applyBorder="1" applyAlignment="1" applyProtection="1">
      <alignment vertical="center" wrapText="1"/>
      <protection locked="0"/>
    </xf>
    <xf numFmtId="0" fontId="5" fillId="5" borderId="2" xfId="0" applyFont="1" applyFill="1" applyBorder="1" applyAlignment="1" applyProtection="1">
      <alignment vertical="center" wrapText="1"/>
      <protection locked="0"/>
    </xf>
    <xf numFmtId="0" fontId="0" fillId="0" borderId="0" xfId="0" applyProtection="1">
      <protection hidden="1"/>
    </xf>
    <xf numFmtId="10" fontId="0" fillId="0" borderId="0" xfId="1" applyNumberFormat="1" applyFont="1" applyProtection="1">
      <protection hidden="1"/>
    </xf>
    <xf numFmtId="0" fontId="7" fillId="0" borderId="0" xfId="0" applyFont="1" applyProtection="1">
      <protection hidden="1"/>
    </xf>
    <xf numFmtId="164" fontId="0" fillId="0" borderId="0" xfId="0" applyNumberFormat="1" applyProtection="1">
      <protection hidden="1"/>
    </xf>
    <xf numFmtId="0" fontId="0" fillId="0" borderId="0" xfId="0" applyAlignment="1" applyProtection="1">
      <alignment horizontal="left"/>
      <protection hidden="1"/>
    </xf>
    <xf numFmtId="0" fontId="8" fillId="0" borderId="0" xfId="0" applyFont="1" applyAlignment="1" applyProtection="1">
      <alignment horizontal="left"/>
      <protection hidden="1"/>
    </xf>
    <xf numFmtId="0" fontId="3" fillId="0" borderId="0" xfId="0" applyFont="1" applyProtection="1">
      <protection locked="0"/>
    </xf>
    <xf numFmtId="0" fontId="0" fillId="0" borderId="0" xfId="0" applyProtection="1">
      <protection locked="0"/>
    </xf>
    <xf numFmtId="0" fontId="0" fillId="0" borderId="0" xfId="0" applyAlignment="1">
      <alignment vertical="center" wrapText="1"/>
    </xf>
    <xf numFmtId="0" fontId="0" fillId="0" borderId="2" xfId="0" pivotButton="1" applyBorder="1" applyProtection="1">
      <protection locked="0"/>
    </xf>
    <xf numFmtId="0" fontId="0" fillId="0" borderId="2" xfId="0" applyBorder="1" applyProtection="1">
      <protection locked="0"/>
    </xf>
    <xf numFmtId="0" fontId="0" fillId="0" borderId="2" xfId="0" applyBorder="1" applyAlignment="1" applyProtection="1">
      <alignment horizontal="left"/>
      <protection locked="0"/>
    </xf>
    <xf numFmtId="9" fontId="0" fillId="0" borderId="2" xfId="0" applyNumberFormat="1" applyBorder="1" applyProtection="1">
      <protection locked="0"/>
    </xf>
    <xf numFmtId="15" fontId="0" fillId="0" borderId="0" xfId="0" applyNumberFormat="1" applyAlignment="1">
      <alignment vertical="center" wrapText="1"/>
    </xf>
    <xf numFmtId="0" fontId="0" fillId="0" borderId="0" xfId="1" applyNumberFormat="1" applyFont="1"/>
    <xf numFmtId="2" fontId="0" fillId="0" borderId="0" xfId="0" applyNumberFormat="1"/>
  </cellXfs>
  <cellStyles count="2">
    <cellStyle name="Normal" xfId="0" builtinId="0"/>
    <cellStyle name="Percent" xfId="1" builtinId="5"/>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dxf>
    <dxf>
      <protection locked="0"/>
    </dxf>
    <dxf>
      <protection locked="0"/>
    </dxf>
    <dxf>
      <protection locked="0"/>
    </dxf>
    <dxf>
      <protection locked="0"/>
    </dxf>
    <dxf>
      <protection locked="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font>
        <color rgb="FF92D050"/>
      </font>
    </dxf>
    <dxf>
      <font>
        <color rgb="FFC00000"/>
      </font>
    </dxf>
    <dxf>
      <font>
        <color rgb="FF92D050"/>
      </font>
    </dxf>
    <dxf>
      <font>
        <color rgb="FFC00000"/>
      </font>
    </dxf>
    <dxf>
      <font>
        <color rgb="FF006100"/>
      </font>
      <fill>
        <patternFill>
          <bgColor rgb="FFC6EFCE"/>
        </patternFill>
      </fill>
    </dxf>
    <dxf>
      <font>
        <color rgb="FF9C0006"/>
      </font>
    </dxf>
    <dxf>
      <protection locked="1" hidden="0"/>
    </dxf>
    <dxf>
      <numFmt numFmtId="0" formatCode="General"/>
    </dxf>
    <dxf>
      <protection locked="1" hidden="0"/>
    </dxf>
    <dxf>
      <font>
        <b/>
        <i val="0"/>
        <strike val="0"/>
        <condense val="0"/>
        <extend val="0"/>
        <outline val="0"/>
        <shadow val="0"/>
        <u val="none"/>
        <vertAlign val="baseline"/>
        <sz val="11"/>
        <color theme="1"/>
        <name val="Calibri"/>
        <family val="2"/>
        <scheme val="minor"/>
      </font>
      <protection locked="1" hidden="0"/>
    </dxf>
    <dxf>
      <numFmt numFmtId="0" formatCode="Genera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colors>
    <mruColors>
      <color rgb="FFFF5050"/>
      <color rgb="FFF6C1C0"/>
      <color rgb="FF3654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4.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84" Type="http://schemas.openxmlformats.org/officeDocument/2006/relationships/customXml" Target="../customXml/item49.xml"/><Relationship Id="rId89" Type="http://schemas.openxmlformats.org/officeDocument/2006/relationships/customXml" Target="../customXml/item54.xml"/><Relationship Id="rId16" Type="http://schemas.openxmlformats.org/officeDocument/2006/relationships/pivotCacheDefinition" Target="pivotCache/pivotCacheDefinition9.xml"/><Relationship Id="rId11" Type="http://schemas.openxmlformats.org/officeDocument/2006/relationships/pivotCacheDefinition" Target="pivotCache/pivotCacheDefinition4.xml"/><Relationship Id="rId32" Type="http://schemas.openxmlformats.org/officeDocument/2006/relationships/sheetMetadata" Target="metadata.xml"/><Relationship Id="rId37" Type="http://schemas.openxmlformats.org/officeDocument/2006/relationships/customXml" Target="../customXml/item2.xml"/><Relationship Id="rId53" Type="http://schemas.openxmlformats.org/officeDocument/2006/relationships/customXml" Target="../customXml/item18.xml"/><Relationship Id="rId58" Type="http://schemas.openxmlformats.org/officeDocument/2006/relationships/customXml" Target="../customXml/item23.xml"/><Relationship Id="rId74" Type="http://schemas.openxmlformats.org/officeDocument/2006/relationships/customXml" Target="../customXml/item39.xml"/><Relationship Id="rId79" Type="http://schemas.openxmlformats.org/officeDocument/2006/relationships/customXml" Target="../customXml/item44.xml"/><Relationship Id="rId5" Type="http://schemas.openxmlformats.org/officeDocument/2006/relationships/worksheet" Target="worksheets/sheet5.xml"/><Relationship Id="rId90" Type="http://schemas.openxmlformats.org/officeDocument/2006/relationships/customXml" Target="../customXml/item55.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microsoft.com/office/2011/relationships/timelineCache" Target="timelineCaches/timelineCache1.xml"/><Relationship Id="rId30" Type="http://schemas.openxmlformats.org/officeDocument/2006/relationships/styles" Target="style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77" Type="http://schemas.openxmlformats.org/officeDocument/2006/relationships/customXml" Target="../customXml/item42.xml"/><Relationship Id="rId8" Type="http://schemas.openxmlformats.org/officeDocument/2006/relationships/pivotCacheDefinition" Target="pivotCache/pivotCacheDefinition1.xml"/><Relationship Id="rId51" Type="http://schemas.openxmlformats.org/officeDocument/2006/relationships/customXml" Target="../customXml/item16.xml"/><Relationship Id="rId72" Type="http://schemas.openxmlformats.org/officeDocument/2006/relationships/customXml" Target="../customXml/item37.xml"/><Relationship Id="rId80" Type="http://schemas.openxmlformats.org/officeDocument/2006/relationships/customXml" Target="../customXml/item45.xml"/><Relationship Id="rId85" Type="http://schemas.openxmlformats.org/officeDocument/2006/relationships/customXml" Target="../customXml/item50.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microsoft.com/office/2007/relationships/slicerCache" Target="slicerCaches/slicerCache3.xml"/><Relationship Id="rId33" Type="http://schemas.openxmlformats.org/officeDocument/2006/relationships/powerPivotData" Target="model/item.data"/><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3.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83" Type="http://schemas.openxmlformats.org/officeDocument/2006/relationships/customXml" Target="../customXml/item48.xml"/><Relationship Id="rId88" Type="http://schemas.openxmlformats.org/officeDocument/2006/relationships/customXml" Target="../customXml/item53.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microsoft.com/office/2007/relationships/slicerCache" Target="slicerCaches/slicerCache1.xml"/><Relationship Id="rId28" Type="http://schemas.openxmlformats.org/officeDocument/2006/relationships/theme" Target="theme/theme1.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3.xml"/><Relationship Id="rId31" Type="http://schemas.openxmlformats.org/officeDocument/2006/relationships/sharedStrings" Target="sharedString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78" Type="http://schemas.openxmlformats.org/officeDocument/2006/relationships/customXml" Target="../customXml/item43.xml"/><Relationship Id="rId81" Type="http://schemas.openxmlformats.org/officeDocument/2006/relationships/customXml" Target="../customXml/item46.xml"/><Relationship Id="rId86" Type="http://schemas.openxmlformats.org/officeDocument/2006/relationships/customXml" Target="../customXml/item5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39" Type="http://schemas.openxmlformats.org/officeDocument/2006/relationships/customXml" Target="../customXml/item4.xml"/><Relationship Id="rId34" Type="http://schemas.microsoft.com/office/2017/10/relationships/person" Target="persons/person.xml"/><Relationship Id="rId50" Type="http://schemas.openxmlformats.org/officeDocument/2006/relationships/customXml" Target="../customXml/item15.xml"/><Relationship Id="rId55" Type="http://schemas.openxmlformats.org/officeDocument/2006/relationships/customXml" Target="../customXml/item20.xml"/><Relationship Id="rId76" Type="http://schemas.openxmlformats.org/officeDocument/2006/relationships/customXml" Target="../customXml/item41.xml"/><Relationship Id="rId7" Type="http://schemas.openxmlformats.org/officeDocument/2006/relationships/worksheet" Target="worksheets/sheet7.xml"/><Relationship Id="rId71" Type="http://schemas.openxmlformats.org/officeDocument/2006/relationships/customXml" Target="../customXml/item36.xml"/><Relationship Id="rId2" Type="http://schemas.openxmlformats.org/officeDocument/2006/relationships/worksheet" Target="worksheets/sheet2.xml"/><Relationship Id="rId29" Type="http://schemas.openxmlformats.org/officeDocument/2006/relationships/connections" Target="connections.xml"/><Relationship Id="rId24" Type="http://schemas.microsoft.com/office/2007/relationships/slicerCache" Target="slicerCaches/slicerCache2.xml"/><Relationship Id="rId40" Type="http://schemas.openxmlformats.org/officeDocument/2006/relationships/customXml" Target="../customXml/item5.xml"/><Relationship Id="rId45" Type="http://schemas.openxmlformats.org/officeDocument/2006/relationships/customXml" Target="../customXml/item10.xml"/><Relationship Id="rId66" Type="http://schemas.openxmlformats.org/officeDocument/2006/relationships/customXml" Target="../customXml/item31.xml"/><Relationship Id="rId87" Type="http://schemas.openxmlformats.org/officeDocument/2006/relationships/customXml" Target="../customXml/item52.xml"/><Relationship Id="rId61" Type="http://schemas.openxmlformats.org/officeDocument/2006/relationships/customXml" Target="../customXml/item26.xml"/><Relationship Id="rId82" Type="http://schemas.openxmlformats.org/officeDocument/2006/relationships/customXml" Target="../customXml/item47.xml"/><Relationship Id="rId19" Type="http://schemas.openxmlformats.org/officeDocument/2006/relationships/pivotCacheDefinition" Target="pivotCache/pivotCacheDefinition1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[stock market protfolio dashboard.xlsm]pivot_backend!PivotTable12</c:name>
    <c:fmtId val="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Portfolio Allocation</a:t>
            </a:r>
            <a:endParaRPr lang="en-US"/>
          </a:p>
        </c:rich>
      </c:tx>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noFill/>
                  </a:ln>
                  <a:solidFill>
                    <a:schemeClr val="tx1">
                      <a:lumMod val="95000"/>
                      <a:lumOff val="5000"/>
                    </a:schemeClr>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tint val="77000"/>
            </a:schemeClr>
          </a:solidFill>
          <a:ln w="19050">
            <a:solidFill>
              <a:schemeClr val="lt1"/>
            </a:solidFill>
          </a:ln>
          <a:effectLst/>
        </c:spPr>
      </c:pivotFmt>
      <c:pivotFmt>
        <c:idx val="2"/>
        <c:spPr>
          <a:solidFill>
            <a:schemeClr val="accent6">
              <a:shade val="76000"/>
            </a:schemeClr>
          </a:solidFill>
          <a:ln w="19050">
            <a:solidFill>
              <a:schemeClr val="lt1"/>
            </a:solidFill>
          </a:ln>
          <a:effectLst/>
        </c:spPr>
      </c:pivotFmt>
      <c:pivotFmt>
        <c:idx val="3"/>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6">
              <a:tint val="77000"/>
            </a:schemeClr>
          </a:solidFill>
          <a:ln w="19050">
            <a:solidFill>
              <a:schemeClr val="lt1"/>
            </a:solidFill>
          </a:ln>
          <a:effectLst/>
        </c:spPr>
        <c:dLbl>
          <c:idx val="0"/>
          <c:layout>
            <c:manualLayout>
              <c:x val="2.5690430314707711E-2"/>
              <c:y val="9.16230366492146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tint val="54000"/>
            </a:schemeClr>
          </a:solidFill>
          <a:ln w="19050">
            <a:solidFill>
              <a:schemeClr val="lt1"/>
            </a:solidFill>
          </a:ln>
          <a:effectLst/>
        </c:spPr>
        <c:dLbl>
          <c:idx val="0"/>
          <c:layout>
            <c:manualLayout>
              <c:x val="-8.9916506101477223E-2"/>
              <c:y val="7.85340314136124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tint val="58000"/>
            </a:schemeClr>
          </a:solidFill>
          <a:ln w="19050">
            <a:solidFill>
              <a:schemeClr val="lt1"/>
            </a:solidFill>
          </a:ln>
          <a:effectLst/>
        </c:spPr>
        <c:dLbl>
          <c:idx val="0"/>
          <c:layout>
            <c:manualLayout>
              <c:x val="-9.6339113680155315E-3"/>
              <c:y val="-0.1483420593368237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6">
              <a:shade val="53000"/>
            </a:schemeClr>
          </a:solidFill>
          <a:ln w="19050">
            <a:solidFill>
              <a:schemeClr val="lt1"/>
            </a:solidFill>
          </a:ln>
          <a:effectLst/>
        </c:spPr>
        <c:dLbl>
          <c:idx val="0"/>
          <c:layout>
            <c:manualLayout>
              <c:x val="-5.4592164418754016E-2"/>
              <c:y val="-4.79930191972076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6">
              <a:shade val="76000"/>
            </a:schemeClr>
          </a:solidFill>
          <a:ln w="19050">
            <a:solidFill>
              <a:schemeClr val="lt1"/>
            </a:solidFill>
          </a:ln>
          <a:effectLst/>
        </c:spPr>
        <c:dLbl>
          <c:idx val="0"/>
          <c:layout>
            <c:manualLayout>
              <c:x val="-0.115606936416185"/>
              <c:y val="-6.54450261780105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28338870935930704"/>
          <c:y val="0.25271261903780351"/>
          <c:w val="0.45570196066532143"/>
          <c:h val="0.67574090738657655"/>
        </c:manualLayout>
      </c:layout>
      <c:doughnutChart>
        <c:varyColors val="1"/>
        <c:ser>
          <c:idx val="0"/>
          <c:order val="0"/>
          <c:tx>
            <c:strRef>
              <c:f>pivot_backend!$C$3</c:f>
              <c:strCache>
                <c:ptCount val="1"/>
                <c:pt idx="0">
                  <c:v>Total</c:v>
                </c:pt>
              </c:strCache>
            </c:strRef>
          </c:tx>
          <c:dPt>
            <c:idx val="0"/>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8-EBD5-4757-B29E-418CFD7A16F5}"/>
              </c:ext>
            </c:extLst>
          </c:dPt>
          <c:dPt>
            <c:idx val="1"/>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7-EBD5-4757-B29E-418CFD7A16F5}"/>
              </c:ext>
            </c:extLst>
          </c:dPt>
          <c:dPt>
            <c:idx val="2"/>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A-EBD5-4757-B29E-418CFD7A16F5}"/>
              </c:ext>
            </c:extLst>
          </c:dPt>
          <c:dPt>
            <c:idx val="3"/>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9-EBD5-4757-B29E-418CFD7A16F5}"/>
              </c:ext>
            </c:extLst>
          </c:dPt>
          <c:dPt>
            <c:idx val="4"/>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C-EBD5-4757-B29E-418CFD7A16F5}"/>
              </c:ext>
            </c:extLst>
          </c:dPt>
          <c:dLbls>
            <c:dLbl>
              <c:idx val="0"/>
              <c:layout>
                <c:manualLayout>
                  <c:x val="-9.6339113680155315E-3"/>
                  <c:y val="-0.1483420593368237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EBD5-4757-B29E-418CFD7A16F5}"/>
                </c:ext>
              </c:extLst>
            </c:dLbl>
            <c:dLbl>
              <c:idx val="1"/>
              <c:layout>
                <c:manualLayout>
                  <c:x val="2.5690430314707711E-2"/>
                  <c:y val="9.162303664921465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BD5-4757-B29E-418CFD7A16F5}"/>
                </c:ext>
              </c:extLst>
            </c:dLbl>
            <c:dLbl>
              <c:idx val="2"/>
              <c:layout>
                <c:manualLayout>
                  <c:x val="-8.9916506101477223E-2"/>
                  <c:y val="7.853403141361248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EBD5-4757-B29E-418CFD7A16F5}"/>
                </c:ext>
              </c:extLst>
            </c:dLbl>
            <c:dLbl>
              <c:idx val="3"/>
              <c:layout>
                <c:manualLayout>
                  <c:x val="-0.115606936416185"/>
                  <c:y val="-6.544502617801051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BD5-4757-B29E-418CFD7A16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pivot_backend!$B$4:$B$8</c:f>
              <c:strCache>
                <c:ptCount val="4"/>
                <c:pt idx="0">
                  <c:v>Consumer Staples</c:v>
                </c:pt>
                <c:pt idx="1">
                  <c:v>Financials</c:v>
                </c:pt>
                <c:pt idx="2">
                  <c:v>Information Technology</c:v>
                </c:pt>
                <c:pt idx="3">
                  <c:v>Industrials</c:v>
                </c:pt>
              </c:strCache>
            </c:strRef>
          </c:cat>
          <c:val>
            <c:numRef>
              <c:f>pivot_backend!$C$4:$C$8</c:f>
              <c:numCache>
                <c:formatCode>General</c:formatCode>
                <c:ptCount val="4"/>
                <c:pt idx="0">
                  <c:v>5</c:v>
                </c:pt>
                <c:pt idx="1">
                  <c:v>4</c:v>
                </c:pt>
                <c:pt idx="2">
                  <c:v>3</c:v>
                </c:pt>
                <c:pt idx="3">
                  <c:v>3</c:v>
                </c:pt>
              </c:numCache>
            </c:numRef>
          </c:val>
          <c:extLst>
            <c:ext xmlns:c16="http://schemas.microsoft.com/office/drawing/2014/chart" uri="{C3380CC4-5D6E-409C-BE32-E72D297353CC}">
              <c16:uniqueId val="{00000006-EBD5-4757-B29E-418CFD7A16F5}"/>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[stock market protfolio dashboard.xlsm]pivot_backend!PivotTable14</c:name>
    <c:fmtId val="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Top Holdings</a:t>
            </a:r>
            <a:endParaRPr lang="en-US"/>
          </a:p>
        </c:rich>
      </c:tx>
      <c:layout>
        <c:manualLayout>
          <c:xMode val="edge"/>
          <c:yMode val="edge"/>
          <c:x val="0.38740925569922496"/>
          <c:y val="2.3674242424242424E-2"/>
        </c:manualLayout>
      </c:layout>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06187729878246"/>
          <c:y val="0.16266404199475065"/>
          <c:w val="0.80257130358705164"/>
          <c:h val="0.72088764946048411"/>
        </c:manualLayout>
      </c:layout>
      <c:barChart>
        <c:barDir val="bar"/>
        <c:grouping val="clustered"/>
        <c:varyColors val="0"/>
        <c:ser>
          <c:idx val="0"/>
          <c:order val="0"/>
          <c:tx>
            <c:strRef>
              <c:f>pivot_backend!$F$3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pivot_backend!$E$4:$E$9</c:f>
              <c:strCache>
                <c:ptCount val="5"/>
                <c:pt idx="0">
                  <c:v>ASIANPAINT</c:v>
                </c:pt>
                <c:pt idx="1">
                  <c:v>INFY</c:v>
                </c:pt>
                <c:pt idx="2">
                  <c:v>HDFCBANK</c:v>
                </c:pt>
                <c:pt idx="3">
                  <c:v>ADANIPORTS</c:v>
                </c:pt>
                <c:pt idx="4">
                  <c:v>TCS</c:v>
                </c:pt>
              </c:strCache>
            </c:strRef>
          </c:cat>
          <c:val>
            <c:numRef>
              <c:f>pivot_backend!$F$4:$F$9</c:f>
              <c:numCache>
                <c:formatCode>General</c:formatCode>
                <c:ptCount val="5"/>
                <c:pt idx="0">
                  <c:v>5</c:v>
                </c:pt>
                <c:pt idx="1">
                  <c:v>5</c:v>
                </c:pt>
                <c:pt idx="2">
                  <c:v>4</c:v>
                </c:pt>
                <c:pt idx="3">
                  <c:v>3</c:v>
                </c:pt>
                <c:pt idx="4">
                  <c:v>-2</c:v>
                </c:pt>
              </c:numCache>
            </c:numRef>
          </c:val>
          <c:extLst>
            <c:ext xmlns:c16="http://schemas.microsoft.com/office/drawing/2014/chart" uri="{C3380CC4-5D6E-409C-BE32-E72D297353CC}">
              <c16:uniqueId val="{00000000-8E97-4D64-9F64-CDEB4F1F2853}"/>
            </c:ext>
          </c:extLst>
        </c:ser>
        <c:dLbls>
          <c:dLblPos val="outEnd"/>
          <c:showLegendKey val="0"/>
          <c:showVal val="1"/>
          <c:showCatName val="0"/>
          <c:showSerName val="0"/>
          <c:showPercent val="0"/>
          <c:showBubbleSize val="0"/>
        </c:dLbls>
        <c:gapWidth val="182"/>
        <c:axId val="1947089055"/>
        <c:axId val="1947090975"/>
      </c:barChart>
      <c:catAx>
        <c:axId val="1947089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090975"/>
        <c:crosses val="autoZero"/>
        <c:auto val="1"/>
        <c:lblAlgn val="ctr"/>
        <c:lblOffset val="100"/>
        <c:noMultiLvlLbl val="0"/>
      </c:catAx>
      <c:valAx>
        <c:axId val="19470909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089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[stock market protfolio dashboard.xlsm]pivot_backend!PivotTable13</c:name>
    <c:fmtId val="8"/>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Monthly Investment Trend</a:t>
            </a:r>
            <a:endParaRPr lang="en-US"/>
          </a:p>
        </c:rich>
      </c:tx>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758272685793792E-2"/>
          <c:y val="0.18329163278091451"/>
          <c:w val="0.88821246741747628"/>
          <c:h val="0.48174488600768123"/>
        </c:manualLayout>
      </c:layout>
      <c:lineChart>
        <c:grouping val="standard"/>
        <c:varyColors val="0"/>
        <c:ser>
          <c:idx val="0"/>
          <c:order val="0"/>
          <c:tx>
            <c:strRef>
              <c:f>pivot_backend!$M$3</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pivot_backend!$L$4:$L$13</c:f>
              <c:multiLvlStrCache>
                <c:ptCount val="5"/>
                <c:lvl>
                  <c:pt idx="0">
                    <c:v>2/4/2026</c:v>
                  </c:pt>
                  <c:pt idx="1">
                    <c:v>3/3/2026</c:v>
                  </c:pt>
                  <c:pt idx="2">
                    <c:v>3/14/2026</c:v>
                  </c:pt>
                  <c:pt idx="3">
                    <c:v>4/25/2026</c:v>
                  </c:pt>
                  <c:pt idx="4">
                    <c:v>5/10/2026</c:v>
                  </c:pt>
                </c:lvl>
                <c:lvl>
                  <c:pt idx="0">
                    <c:v>Feb</c:v>
                  </c:pt>
                  <c:pt idx="1">
                    <c:v>Mar</c:v>
                  </c:pt>
                  <c:pt idx="3">
                    <c:v>Apr</c:v>
                  </c:pt>
                  <c:pt idx="4">
                    <c:v>May</c:v>
                  </c:pt>
                </c:lvl>
              </c:multiLvlStrCache>
            </c:multiLvlStrRef>
          </c:cat>
          <c:val>
            <c:numRef>
              <c:f>pivot_backend!$M$4:$M$13</c:f>
              <c:numCache>
                <c:formatCode>General</c:formatCode>
                <c:ptCount val="5"/>
                <c:pt idx="0">
                  <c:v>5</c:v>
                </c:pt>
                <c:pt idx="1">
                  <c:v>5</c:v>
                </c:pt>
                <c:pt idx="2">
                  <c:v>4</c:v>
                </c:pt>
                <c:pt idx="3">
                  <c:v>3</c:v>
                </c:pt>
                <c:pt idx="4">
                  <c:v>2</c:v>
                </c:pt>
              </c:numCache>
            </c:numRef>
          </c:val>
          <c:smooth val="0"/>
          <c:extLst>
            <c:ext xmlns:c16="http://schemas.microsoft.com/office/drawing/2014/chart" uri="{C3380CC4-5D6E-409C-BE32-E72D297353CC}">
              <c16:uniqueId val="{00000000-DECC-4E9B-B424-2F1F96FA4034}"/>
            </c:ext>
          </c:extLst>
        </c:ser>
        <c:dLbls>
          <c:showLegendKey val="0"/>
          <c:showVal val="0"/>
          <c:showCatName val="0"/>
          <c:showSerName val="0"/>
          <c:showPercent val="0"/>
          <c:showBubbleSize val="0"/>
        </c:dLbls>
        <c:marker val="1"/>
        <c:smooth val="0"/>
        <c:axId val="208199824"/>
        <c:axId val="208201744"/>
      </c:lineChart>
      <c:catAx>
        <c:axId val="208199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01744"/>
        <c:crosses val="autoZero"/>
        <c:auto val="1"/>
        <c:lblAlgn val="ctr"/>
        <c:lblOffset val="100"/>
        <c:noMultiLvlLbl val="0"/>
      </c:catAx>
      <c:valAx>
        <c:axId val="208201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99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[stock market protfolio dashboard.xlsm]pivot_backend!PivotTable12</c:name>
    <c:fmtId val="9"/>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Investment by Sector</a:t>
            </a:r>
            <a:endParaRPr lang="en-US"/>
          </a:p>
        </c:rich>
      </c:tx>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856741475597488"/>
          <c:y val="0.18732323232323234"/>
          <c:w val="0.71090395088279168"/>
          <c:h val="0.69551379941143721"/>
        </c:manualLayout>
      </c:layout>
      <c:barChart>
        <c:barDir val="bar"/>
        <c:grouping val="clustered"/>
        <c:varyColors val="0"/>
        <c:ser>
          <c:idx val="0"/>
          <c:order val="0"/>
          <c:tx>
            <c:strRef>
              <c:f>pivot_backend!$C$3</c:f>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pivot_backend!$B$4:$B$8</c:f>
              <c:strCache>
                <c:ptCount val="4"/>
                <c:pt idx="0">
                  <c:v>Consumer Staples</c:v>
                </c:pt>
                <c:pt idx="1">
                  <c:v>Financials</c:v>
                </c:pt>
                <c:pt idx="2">
                  <c:v>Information Technology</c:v>
                </c:pt>
                <c:pt idx="3">
                  <c:v>Industrials</c:v>
                </c:pt>
              </c:strCache>
            </c:strRef>
          </c:cat>
          <c:val>
            <c:numRef>
              <c:f>pivot_backend!$C$4:$C$8</c:f>
              <c:numCache>
                <c:formatCode>General</c:formatCode>
                <c:ptCount val="4"/>
                <c:pt idx="0">
                  <c:v>5</c:v>
                </c:pt>
                <c:pt idx="1">
                  <c:v>4</c:v>
                </c:pt>
                <c:pt idx="2">
                  <c:v>3</c:v>
                </c:pt>
                <c:pt idx="3">
                  <c:v>3</c:v>
                </c:pt>
              </c:numCache>
            </c:numRef>
          </c:val>
          <c:extLst>
            <c:ext xmlns:c16="http://schemas.microsoft.com/office/drawing/2014/chart" uri="{C3380CC4-5D6E-409C-BE32-E72D297353CC}">
              <c16:uniqueId val="{00000000-DF4E-4C4F-8E23-FF90BE02FBB8}"/>
            </c:ext>
          </c:extLst>
        </c:ser>
        <c:dLbls>
          <c:dLblPos val="outEnd"/>
          <c:showLegendKey val="0"/>
          <c:showVal val="1"/>
          <c:showCatName val="0"/>
          <c:showSerName val="0"/>
          <c:showPercent val="0"/>
          <c:showBubbleSize val="0"/>
        </c:dLbls>
        <c:gapWidth val="182"/>
        <c:axId val="758203359"/>
        <c:axId val="758204319"/>
      </c:barChart>
      <c:catAx>
        <c:axId val="758203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04319"/>
        <c:crosses val="autoZero"/>
        <c:auto val="1"/>
        <c:lblAlgn val="ctr"/>
        <c:lblOffset val="100"/>
        <c:noMultiLvlLbl val="0"/>
      </c:catAx>
      <c:valAx>
        <c:axId val="7582043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03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[stock market protfolio dashboard.xlsm]pivot_backend!PivotTable20</c:name>
    <c:fmtId val="4"/>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Buy vs Sell Activity</a:t>
            </a:r>
            <a:endParaRPr lang="en-US"/>
          </a:p>
        </c:rich>
      </c:tx>
      <c:layout>
        <c:manualLayout>
          <c:xMode val="edge"/>
          <c:yMode val="edge"/>
          <c:x val="0.33769444444444446"/>
          <c:y val="0"/>
        </c:manualLayout>
      </c:layout>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05685343051128"/>
          <c:y val="0.16144594292734685"/>
          <c:w val="0.71685870516185479"/>
          <c:h val="0.68358887430737825"/>
        </c:manualLayout>
      </c:layout>
      <c:barChart>
        <c:barDir val="col"/>
        <c:grouping val="clustered"/>
        <c:varyColors val="0"/>
        <c:ser>
          <c:idx val="0"/>
          <c:order val="0"/>
          <c:tx>
            <c:strRef>
              <c:f>pivot_backend!$AF$4</c:f>
              <c:strCache>
                <c:ptCount val="1"/>
                <c:pt idx="0">
                  <c:v>Buy Value</c:v>
                </c:pt>
              </c:strCache>
            </c:strRef>
          </c:tx>
          <c:spPr>
            <a:solidFill>
              <a:schemeClr val="accent6">
                <a:shade val="76000"/>
              </a:schemeClr>
            </a:solidFill>
            <a:ln>
              <a:noFill/>
            </a:ln>
            <a:effectLst/>
          </c:spPr>
          <c:invertIfNegative val="0"/>
          <c:cat>
            <c:multiLvlStrRef>
              <c:f>pivot_backend!$AE$5:$AE$10</c:f>
              <c:multiLvlStrCache>
                <c:ptCount val="4"/>
                <c:lvl>
                  <c:pt idx="0">
                    <c:v>Mar</c:v>
                  </c:pt>
                  <c:pt idx="1">
                    <c:v>Feb</c:v>
                  </c:pt>
                  <c:pt idx="2">
                    <c:v>Apr</c:v>
                  </c:pt>
                  <c:pt idx="3">
                    <c:v>May</c:v>
                  </c:pt>
                </c:lvl>
                <c:lvl>
                  <c:pt idx="0">
                    <c:v>2026</c:v>
                  </c:pt>
                </c:lvl>
              </c:multiLvlStrCache>
            </c:multiLvlStrRef>
          </c:cat>
          <c:val>
            <c:numRef>
              <c:f>pivot_backend!$AF$5:$AF$10</c:f>
              <c:numCache>
                <c:formatCode>General</c:formatCode>
                <c:ptCount val="4"/>
                <c:pt idx="0">
                  <c:v>16190</c:v>
                </c:pt>
                <c:pt idx="1">
                  <c:v>13770</c:v>
                </c:pt>
                <c:pt idx="2">
                  <c:v>3680</c:v>
                </c:pt>
              </c:numCache>
            </c:numRef>
          </c:val>
          <c:extLst>
            <c:ext xmlns:c16="http://schemas.microsoft.com/office/drawing/2014/chart" uri="{C3380CC4-5D6E-409C-BE32-E72D297353CC}">
              <c16:uniqueId val="{00000001-3F36-48EA-A2A5-9213B8416BF4}"/>
            </c:ext>
          </c:extLst>
        </c:ser>
        <c:ser>
          <c:idx val="1"/>
          <c:order val="1"/>
          <c:tx>
            <c:strRef>
              <c:f>pivot_backend!$AG$4</c:f>
              <c:strCache>
                <c:ptCount val="1"/>
                <c:pt idx="0">
                  <c:v>Sell Value</c:v>
                </c:pt>
              </c:strCache>
            </c:strRef>
          </c:tx>
          <c:spPr>
            <a:solidFill>
              <a:schemeClr val="accent6">
                <a:tint val="77000"/>
              </a:schemeClr>
            </a:solidFill>
            <a:ln>
              <a:noFill/>
            </a:ln>
            <a:effectLst/>
          </c:spPr>
          <c:invertIfNegative val="0"/>
          <c:cat>
            <c:multiLvlStrRef>
              <c:f>pivot_backend!$AE$5:$AE$10</c:f>
              <c:multiLvlStrCache>
                <c:ptCount val="4"/>
                <c:lvl>
                  <c:pt idx="0">
                    <c:v>Mar</c:v>
                  </c:pt>
                  <c:pt idx="1">
                    <c:v>Feb</c:v>
                  </c:pt>
                  <c:pt idx="2">
                    <c:v>Apr</c:v>
                  </c:pt>
                  <c:pt idx="3">
                    <c:v>May</c:v>
                  </c:pt>
                </c:lvl>
                <c:lvl>
                  <c:pt idx="0">
                    <c:v>2026</c:v>
                  </c:pt>
                </c:lvl>
              </c:multiLvlStrCache>
            </c:multiLvlStrRef>
          </c:cat>
          <c:val>
            <c:numRef>
              <c:f>pivot_backend!$AG$5:$AG$10</c:f>
              <c:numCache>
                <c:formatCode>General</c:formatCode>
                <c:ptCount val="4"/>
                <c:pt idx="3">
                  <c:v>8280</c:v>
                </c:pt>
              </c:numCache>
            </c:numRef>
          </c:val>
          <c:extLst>
            <c:ext xmlns:c16="http://schemas.microsoft.com/office/drawing/2014/chart" uri="{C3380CC4-5D6E-409C-BE32-E72D297353CC}">
              <c16:uniqueId val="{00000002-3F36-48EA-A2A5-9213B8416BF4}"/>
            </c:ext>
          </c:extLst>
        </c:ser>
        <c:dLbls>
          <c:showLegendKey val="0"/>
          <c:showVal val="0"/>
          <c:showCatName val="0"/>
          <c:showSerName val="0"/>
          <c:showPercent val="0"/>
          <c:showBubbleSize val="0"/>
        </c:dLbls>
        <c:gapWidth val="219"/>
        <c:overlap val="-27"/>
        <c:axId val="1823889487"/>
        <c:axId val="1823889967"/>
      </c:barChart>
      <c:catAx>
        <c:axId val="1823889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889967"/>
        <c:crosses val="autoZero"/>
        <c:auto val="1"/>
        <c:lblAlgn val="ctr"/>
        <c:lblOffset val="100"/>
        <c:noMultiLvlLbl val="0"/>
      </c:catAx>
      <c:valAx>
        <c:axId val="1823889967"/>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889487"/>
        <c:crosses val="autoZero"/>
        <c:crossBetween val="between"/>
      </c:valAx>
      <c:spPr>
        <a:noFill/>
        <a:ln>
          <a:noFill/>
        </a:ln>
        <a:effectLst/>
      </c:spPr>
    </c:plotArea>
    <c:legend>
      <c:legendPos val="r"/>
      <c:layout>
        <c:manualLayout>
          <c:xMode val="edge"/>
          <c:yMode val="edge"/>
          <c:x val="0.85468963254593189"/>
          <c:y val="0.2554159375911344"/>
          <c:w val="0.14402070176054713"/>
          <c:h val="0.1513486487030451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[stock market protfolio dashboard.xlsm]pivot_backend!PivotTable17</c:name>
    <c:fmtId val="5"/>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Portfolio Growth Trend</a:t>
            </a:r>
            <a:endParaRPr lang="en-US"/>
          </a:p>
        </c:rich>
      </c:tx>
      <c:overlay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pivot_backend!$AC$4</c:f>
              <c:strCache>
                <c:ptCount val="1"/>
                <c:pt idx="0">
                  <c:v>Total</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pivot_backend!$AB$5:$AB$11</c:f>
              <c:multiLvlStrCache>
                <c:ptCount val="5"/>
                <c:lvl>
                  <c:pt idx="0">
                    <c:v>Jan</c:v>
                  </c:pt>
                  <c:pt idx="1">
                    <c:v>Feb</c:v>
                  </c:pt>
                  <c:pt idx="2">
                    <c:v>Mar</c:v>
                  </c:pt>
                  <c:pt idx="3">
                    <c:v>Apr</c:v>
                  </c:pt>
                  <c:pt idx="4">
                    <c:v>May</c:v>
                  </c:pt>
                </c:lvl>
                <c:lvl>
                  <c:pt idx="0">
                    <c:v>2026</c:v>
                  </c:pt>
                </c:lvl>
              </c:multiLvlStrCache>
            </c:multiLvlStrRef>
          </c:cat>
          <c:val>
            <c:numRef>
              <c:f>pivot_backend!$AC$5:$AC$11</c:f>
              <c:numCache>
                <c:formatCode>General</c:formatCode>
                <c:ptCount val="5"/>
                <c:pt idx="0">
                  <c:v>57970</c:v>
                </c:pt>
                <c:pt idx="1">
                  <c:v>34490</c:v>
                </c:pt>
                <c:pt idx="2">
                  <c:v>16190</c:v>
                </c:pt>
                <c:pt idx="3">
                  <c:v>3680</c:v>
                </c:pt>
                <c:pt idx="4">
                  <c:v>-8280</c:v>
                </c:pt>
              </c:numCache>
            </c:numRef>
          </c:val>
          <c:smooth val="0"/>
          <c:extLst>
            <c:ext xmlns:c16="http://schemas.microsoft.com/office/drawing/2014/chart" uri="{C3380CC4-5D6E-409C-BE32-E72D297353CC}">
              <c16:uniqueId val="{00000000-113A-45DD-838F-C0FF7CA16A1A}"/>
            </c:ext>
          </c:extLst>
        </c:ser>
        <c:dLbls>
          <c:dLblPos val="t"/>
          <c:showLegendKey val="0"/>
          <c:showVal val="1"/>
          <c:showCatName val="0"/>
          <c:showSerName val="0"/>
          <c:showPercent val="0"/>
          <c:showBubbleSize val="0"/>
        </c:dLbls>
        <c:marker val="1"/>
        <c:smooth val="0"/>
        <c:axId val="997035504"/>
        <c:axId val="1018494384"/>
      </c:lineChart>
      <c:catAx>
        <c:axId val="99703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494384"/>
        <c:crosses val="autoZero"/>
        <c:auto val="1"/>
        <c:lblAlgn val="ctr"/>
        <c:lblOffset val="100"/>
        <c:noMultiLvlLbl val="0"/>
      </c:catAx>
      <c:valAx>
        <c:axId val="10184943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03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ashboard!A1"/><Relationship Id="rId13"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chart" Target="../charts/chart5.xml"/><Relationship Id="rId12" Type="http://schemas.openxmlformats.org/officeDocument/2006/relationships/image" Target="../media/image3.svg"/><Relationship Id="rId17" Type="http://schemas.openxmlformats.org/officeDocument/2006/relationships/chart" Target="../charts/chart6.xml"/><Relationship Id="rId2" Type="http://schemas.openxmlformats.org/officeDocument/2006/relationships/chart" Target="../charts/chart2.xml"/><Relationship Id="rId16" Type="http://schemas.openxmlformats.org/officeDocument/2006/relationships/image" Target="../media/image7.sv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2.png"/><Relationship Id="rId5" Type="http://schemas.microsoft.com/office/2017/06/relationships/model3d" Target="../media/model3d1.glb"/><Relationship Id="rId15" Type="http://schemas.openxmlformats.org/officeDocument/2006/relationships/image" Target="../media/image6.png"/><Relationship Id="rId10" Type="http://schemas.openxmlformats.org/officeDocument/2006/relationships/hyperlink" Target="#user_input!A1"/><Relationship Id="rId4" Type="http://schemas.openxmlformats.org/officeDocument/2006/relationships/chart" Target="../charts/chart4.xml"/><Relationship Id="rId9" Type="http://schemas.openxmlformats.org/officeDocument/2006/relationships/hyperlink" Target="#Transaction!A1"/><Relationship Id="rId14" Type="http://schemas.openxmlformats.org/officeDocument/2006/relationships/image" Target="../media/image5.svg"/></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15240</xdr:colOff>
      <xdr:row>0</xdr:row>
      <xdr:rowOff>0</xdr:rowOff>
    </xdr:from>
    <xdr:to>
      <xdr:col>23</xdr:col>
      <xdr:colOff>80819</xdr:colOff>
      <xdr:row>2</xdr:row>
      <xdr:rowOff>281940</xdr:rowOff>
    </xdr:to>
    <xdr:sp macro="" textlink="">
      <xdr:nvSpPr>
        <xdr:cNvPr id="3" name="Rectangle: Rounded Corners 2">
          <a:extLst>
            <a:ext uri="{FF2B5EF4-FFF2-40B4-BE49-F238E27FC236}">
              <a16:creationId xmlns:a16="http://schemas.microsoft.com/office/drawing/2014/main" id="{F4A7449D-93E4-056C-4900-3BD259A13FBB}"/>
            </a:ext>
          </a:extLst>
        </xdr:cNvPr>
        <xdr:cNvSpPr/>
      </xdr:nvSpPr>
      <xdr:spPr>
        <a:xfrm>
          <a:off x="15240" y="0"/>
          <a:ext cx="17880215" cy="651395"/>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2800" baseline="0">
              <a:solidFill>
                <a:schemeClr val="accent6">
                  <a:lumMod val="50000"/>
                </a:schemeClr>
              </a:solidFill>
            </a:rPr>
            <a:t>                                        </a:t>
          </a:r>
          <a:r>
            <a:rPr lang="en-US" sz="2000" baseline="0">
              <a:solidFill>
                <a:schemeClr val="tx1"/>
              </a:solidFill>
            </a:rPr>
            <a:t>Stock Market Portfolio Dashboard     </a:t>
          </a:r>
          <a:r>
            <a:rPr lang="en-US" sz="1200" b="1">
              <a:solidFill>
                <a:schemeClr val="lt1"/>
              </a:solidFill>
              <a:effectLst/>
              <a:latin typeface="+mn-lt"/>
              <a:ea typeface="+mn-ea"/>
              <a:cs typeface="+mn-cs"/>
            </a:rPr>
            <a:t>Interactive Portfolio Tracking using Power Query, Power Pivot &amp; DAX </a:t>
          </a:r>
          <a:endParaRPr lang="en-US" sz="2000" b="1" baseline="0">
            <a:solidFill>
              <a:schemeClr val="tx1"/>
            </a:solidFill>
          </a:endParaRPr>
        </a:p>
        <a:p>
          <a:pPr algn="l"/>
          <a:r>
            <a:rPr lang="en-US" sz="2000" baseline="0">
              <a:solidFill>
                <a:schemeClr val="tx1"/>
              </a:solidFill>
            </a:rPr>
            <a:t>                                                                                                   </a:t>
          </a:r>
          <a:endParaRPr lang="en-US" sz="2800">
            <a:solidFill>
              <a:schemeClr val="tx1"/>
            </a:solidFill>
          </a:endParaRPr>
        </a:p>
      </xdr:txBody>
    </xdr:sp>
    <xdr:clientData/>
  </xdr:twoCellAnchor>
  <xdr:twoCellAnchor editAs="absolute">
    <xdr:from>
      <xdr:col>4</xdr:col>
      <xdr:colOff>967740</xdr:colOff>
      <xdr:row>6</xdr:row>
      <xdr:rowOff>15240</xdr:rowOff>
    </xdr:from>
    <xdr:to>
      <xdr:col>6</xdr:col>
      <xdr:colOff>693420</xdr:colOff>
      <xdr:row>13</xdr:row>
      <xdr:rowOff>38100</xdr:rowOff>
    </xdr:to>
    <mc:AlternateContent xmlns:mc="http://schemas.openxmlformats.org/markup-compatibility/2006" xmlns:a14="http://schemas.microsoft.com/office/drawing/2010/main">
      <mc:Choice Requires="a14">
        <xdr:graphicFrame macro="">
          <xdr:nvGraphicFramePr>
            <xdr:cNvPr id="6" name="Sector">
              <a:extLst>
                <a:ext uri="{FF2B5EF4-FFF2-40B4-BE49-F238E27FC236}">
                  <a16:creationId xmlns:a16="http://schemas.microsoft.com/office/drawing/2014/main" id="{773C912C-DB1F-7D3A-D582-9ECFDB27FAFA}"/>
                </a:ext>
              </a:extLst>
            </xdr:cNvPr>
            <xdr:cNvGraphicFramePr/>
          </xdr:nvGraphicFramePr>
          <xdr:xfrm>
            <a:off x="0" y="0"/>
            <a:ext cx="0" cy="0"/>
          </xdr:xfrm>
          <a:graphic>
            <a:graphicData uri="http://schemas.microsoft.com/office/drawing/2010/slicer">
              <sle:slicer xmlns:sle="http://schemas.microsoft.com/office/drawing/2010/slicer" name="Sector"/>
            </a:graphicData>
          </a:graphic>
        </xdr:graphicFrame>
      </mc:Choice>
      <mc:Fallback xmlns="">
        <xdr:sp macro="" textlink="">
          <xdr:nvSpPr>
            <xdr:cNvPr id="0" name=""/>
            <xdr:cNvSpPr>
              <a:spLocks noTextEdit="1"/>
            </xdr:cNvSpPr>
          </xdr:nvSpPr>
          <xdr:spPr>
            <a:xfrm>
              <a:off x="3771900" y="1447800"/>
              <a:ext cx="1737360" cy="1493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129540</xdr:colOff>
      <xdr:row>6</xdr:row>
      <xdr:rowOff>15241</xdr:rowOff>
    </xdr:from>
    <xdr:to>
      <xdr:col>8</xdr:col>
      <xdr:colOff>922020</xdr:colOff>
      <xdr:row>13</xdr:row>
      <xdr:rowOff>38100</xdr:rowOff>
    </xdr:to>
    <mc:AlternateContent xmlns:mc="http://schemas.openxmlformats.org/markup-compatibility/2006" xmlns:a14="http://schemas.microsoft.com/office/drawing/2010/main">
      <mc:Choice Requires="a14">
        <xdr:graphicFrame macro="">
          <xdr:nvGraphicFramePr>
            <xdr:cNvPr id="7" name="Symbol">
              <a:extLst>
                <a:ext uri="{FF2B5EF4-FFF2-40B4-BE49-F238E27FC236}">
                  <a16:creationId xmlns:a16="http://schemas.microsoft.com/office/drawing/2014/main" id="{25BB8E08-6CDF-198F-52BB-08BBE702E181}"/>
                </a:ext>
              </a:extLst>
            </xdr:cNvPr>
            <xdr:cNvGraphicFramePr/>
          </xdr:nvGraphicFramePr>
          <xdr:xfrm>
            <a:off x="0" y="0"/>
            <a:ext cx="0" cy="0"/>
          </xdr:xfrm>
          <a:graphic>
            <a:graphicData uri="http://schemas.microsoft.com/office/drawing/2010/slicer">
              <sle:slicer xmlns:sle="http://schemas.microsoft.com/office/drawing/2010/slicer" name="Symbol"/>
            </a:graphicData>
          </a:graphic>
        </xdr:graphicFrame>
      </mc:Choice>
      <mc:Fallback xmlns="">
        <xdr:sp macro="" textlink="">
          <xdr:nvSpPr>
            <xdr:cNvPr id="0" name=""/>
            <xdr:cNvSpPr>
              <a:spLocks noTextEdit="1"/>
            </xdr:cNvSpPr>
          </xdr:nvSpPr>
          <xdr:spPr>
            <a:xfrm>
              <a:off x="5806440" y="1447801"/>
              <a:ext cx="1737360" cy="14935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99060</xdr:colOff>
      <xdr:row>19</xdr:row>
      <xdr:rowOff>144780</xdr:rowOff>
    </xdr:from>
    <xdr:to>
      <xdr:col>5</xdr:col>
      <xdr:colOff>99060</xdr:colOff>
      <xdr:row>36</xdr:row>
      <xdr:rowOff>129540</xdr:rowOff>
    </xdr:to>
    <xdr:graphicFrame macro="">
      <xdr:nvGraphicFramePr>
        <xdr:cNvPr id="8" name="Chart 7">
          <a:extLst>
            <a:ext uri="{FF2B5EF4-FFF2-40B4-BE49-F238E27FC236}">
              <a16:creationId xmlns:a16="http://schemas.microsoft.com/office/drawing/2014/main" id="{7621A076-2510-B503-C737-B053907DEC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525780</xdr:colOff>
      <xdr:row>20</xdr:row>
      <xdr:rowOff>45720</xdr:rowOff>
    </xdr:from>
    <xdr:to>
      <xdr:col>10</xdr:col>
      <xdr:colOff>609600</xdr:colOff>
      <xdr:row>35</xdr:row>
      <xdr:rowOff>167640</xdr:rowOff>
    </xdr:to>
    <xdr:graphicFrame macro="">
      <xdr:nvGraphicFramePr>
        <xdr:cNvPr id="9" name="Chart 8">
          <a:extLst>
            <a:ext uri="{FF2B5EF4-FFF2-40B4-BE49-F238E27FC236}">
              <a16:creationId xmlns:a16="http://schemas.microsoft.com/office/drawing/2014/main" id="{228740DC-5DE6-81B7-49C8-31D4501DA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83820</xdr:colOff>
      <xdr:row>38</xdr:row>
      <xdr:rowOff>38100</xdr:rowOff>
    </xdr:from>
    <xdr:to>
      <xdr:col>5</xdr:col>
      <xdr:colOff>556260</xdr:colOff>
      <xdr:row>52</xdr:row>
      <xdr:rowOff>47690</xdr:rowOff>
    </xdr:to>
    <xdr:graphicFrame macro="">
      <xdr:nvGraphicFramePr>
        <xdr:cNvPr id="10" name="Chart 9">
          <a:extLst>
            <a:ext uri="{FF2B5EF4-FFF2-40B4-BE49-F238E27FC236}">
              <a16:creationId xmlns:a16="http://schemas.microsoft.com/office/drawing/2014/main" id="{7405D4C1-CAAA-4691-B160-2D8E7554CC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762000</xdr:colOff>
      <xdr:row>20</xdr:row>
      <xdr:rowOff>15240</xdr:rowOff>
    </xdr:from>
    <xdr:to>
      <xdr:col>17</xdr:col>
      <xdr:colOff>289560</xdr:colOff>
      <xdr:row>36</xdr:row>
      <xdr:rowOff>38100</xdr:rowOff>
    </xdr:to>
    <xdr:graphicFrame macro="">
      <xdr:nvGraphicFramePr>
        <xdr:cNvPr id="2" name="Chart 1">
          <a:extLst>
            <a:ext uri="{FF2B5EF4-FFF2-40B4-BE49-F238E27FC236}">
              <a16:creationId xmlns:a16="http://schemas.microsoft.com/office/drawing/2014/main" id="{3E09DAB7-FE08-488E-9A6F-202B9B900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228600</xdr:colOff>
      <xdr:row>6</xdr:row>
      <xdr:rowOff>0</xdr:rowOff>
    </xdr:from>
    <xdr:to>
      <xdr:col>4</xdr:col>
      <xdr:colOff>609600</xdr:colOff>
      <xdr:row>13</xdr:row>
      <xdr:rowOff>45720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A68A6204-C810-9473-7E23-6A2EC4886806}"/>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28600" y="1432560"/>
              <a:ext cx="3185160" cy="151638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editAs="absolute">
    <xdr:from>
      <xdr:col>9</xdr:col>
      <xdr:colOff>60960</xdr:colOff>
      <xdr:row>6</xdr:row>
      <xdr:rowOff>45720</xdr:rowOff>
    </xdr:from>
    <xdr:to>
      <xdr:col>10</xdr:col>
      <xdr:colOff>662940</xdr:colOff>
      <xdr:row>13</xdr:row>
      <xdr:rowOff>0</xdr:rowOff>
    </xdr:to>
    <mc:AlternateContent xmlns:mc="http://schemas.openxmlformats.org/markup-compatibility/2006" xmlns:a14="http://schemas.microsoft.com/office/drawing/2010/main">
      <mc:Choice Requires="a14">
        <xdr:graphicFrame macro="">
          <xdr:nvGraphicFramePr>
            <xdr:cNvPr id="11" name="Broker">
              <a:extLst>
                <a:ext uri="{FF2B5EF4-FFF2-40B4-BE49-F238E27FC236}">
                  <a16:creationId xmlns:a16="http://schemas.microsoft.com/office/drawing/2014/main" id="{15564194-4C13-6BB9-8162-D327DC4C90E3}"/>
                </a:ext>
              </a:extLst>
            </xdr:cNvPr>
            <xdr:cNvGraphicFramePr/>
          </xdr:nvGraphicFramePr>
          <xdr:xfrm>
            <a:off x="0" y="0"/>
            <a:ext cx="0" cy="0"/>
          </xdr:xfrm>
          <a:graphic>
            <a:graphicData uri="http://schemas.microsoft.com/office/drawing/2010/slicer">
              <sle:slicer xmlns:sle="http://schemas.microsoft.com/office/drawing/2010/slicer" name="Broker"/>
            </a:graphicData>
          </a:graphic>
        </xdr:graphicFrame>
      </mc:Choice>
      <mc:Fallback xmlns="">
        <xdr:sp macro="" textlink="">
          <xdr:nvSpPr>
            <xdr:cNvPr id="0" name=""/>
            <xdr:cNvSpPr>
              <a:spLocks noTextEdit="1"/>
            </xdr:cNvSpPr>
          </xdr:nvSpPr>
          <xdr:spPr>
            <a:xfrm>
              <a:off x="7924800" y="1478280"/>
              <a:ext cx="1165860" cy="14249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11</xdr:col>
      <xdr:colOff>312420</xdr:colOff>
      <xdr:row>6</xdr:row>
      <xdr:rowOff>68580</xdr:rowOff>
    </xdr:from>
    <xdr:to>
      <xdr:col>13</xdr:col>
      <xdr:colOff>434340</xdr:colOff>
      <xdr:row>9</xdr:row>
      <xdr:rowOff>175260</xdr:rowOff>
    </xdr:to>
    <xdr:sp macro="" textlink="pivot_backend!E24">
      <xdr:nvSpPr>
        <xdr:cNvPr id="13" name="TextBox 12">
          <a:extLst>
            <a:ext uri="{FF2B5EF4-FFF2-40B4-BE49-F238E27FC236}">
              <a16:creationId xmlns:a16="http://schemas.microsoft.com/office/drawing/2014/main" id="{39ABF014-B5B1-F854-0B42-E5C64655BA3E}"/>
            </a:ext>
          </a:extLst>
        </xdr:cNvPr>
        <xdr:cNvSpPr txBox="1"/>
      </xdr:nvSpPr>
      <xdr:spPr>
        <a:xfrm>
          <a:off x="9509760" y="1501140"/>
          <a:ext cx="1836420" cy="845820"/>
        </a:xfrm>
        <a:prstGeom prst="rect">
          <a:avLst/>
        </a:prstGeom>
        <a:solidFill>
          <a:schemeClr val="accent6">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4A1D34EC-DC0E-411F-B5A5-AF118C148D62}" type="TxLink">
            <a:rPr lang="en-US" sz="1400" b="0" i="0" u="none" strike="noStrike">
              <a:solidFill>
                <a:srgbClr val="000000"/>
              </a:solidFill>
              <a:latin typeface="Calibri"/>
              <a:ea typeface="Calibri"/>
              <a:cs typeface="Calibri"/>
            </a:rPr>
            <a:pPr algn="ctr"/>
            <a:t>ADANIPORTS (103.16%)</a:t>
          </a:fld>
          <a:endParaRPr lang="en-US" sz="2800"/>
        </a:p>
      </xdr:txBody>
    </xdr:sp>
    <xdr:clientData/>
  </xdr:twoCellAnchor>
  <xdr:twoCellAnchor editAs="absolute">
    <xdr:from>
      <xdr:col>11</xdr:col>
      <xdr:colOff>388620</xdr:colOff>
      <xdr:row>6</xdr:row>
      <xdr:rowOff>83820</xdr:rowOff>
    </xdr:from>
    <xdr:to>
      <xdr:col>13</xdr:col>
      <xdr:colOff>373380</xdr:colOff>
      <xdr:row>7</xdr:row>
      <xdr:rowOff>167640</xdr:rowOff>
    </xdr:to>
    <xdr:sp macro="" textlink="">
      <xdr:nvSpPr>
        <xdr:cNvPr id="16" name="TextBox 15">
          <a:extLst>
            <a:ext uri="{FF2B5EF4-FFF2-40B4-BE49-F238E27FC236}">
              <a16:creationId xmlns:a16="http://schemas.microsoft.com/office/drawing/2014/main" id="{AB18287E-B2A6-4AA0-9059-921BD54A8E37}"/>
            </a:ext>
          </a:extLst>
        </xdr:cNvPr>
        <xdr:cNvSpPr txBox="1"/>
      </xdr:nvSpPr>
      <xdr:spPr>
        <a:xfrm>
          <a:off x="9585960" y="1516380"/>
          <a:ext cx="1699260" cy="266700"/>
        </a:xfrm>
        <a:prstGeom prst="rect">
          <a:avLst/>
        </a:prstGeom>
        <a:solidFill>
          <a:schemeClr val="accent6">
            <a:lumMod val="40000"/>
            <a:lumOff val="6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6">
                  <a:lumMod val="50000"/>
                </a:schemeClr>
              </a:solidFill>
            </a:rPr>
            <a:t>      Best Performer</a:t>
          </a:r>
        </a:p>
      </xdr:txBody>
    </xdr:sp>
    <xdr:clientData/>
  </xdr:twoCellAnchor>
  <xdr:twoCellAnchor editAs="absolute">
    <xdr:from>
      <xdr:col>13</xdr:col>
      <xdr:colOff>754380</xdr:colOff>
      <xdr:row>6</xdr:row>
      <xdr:rowOff>83820</xdr:rowOff>
    </xdr:from>
    <xdr:to>
      <xdr:col>16</xdr:col>
      <xdr:colOff>144780</xdr:colOff>
      <xdr:row>10</xdr:row>
      <xdr:rowOff>7620</xdr:rowOff>
    </xdr:to>
    <xdr:sp macro="" textlink="pivot_backend!F24">
      <xdr:nvSpPr>
        <xdr:cNvPr id="17" name="TextBox 16">
          <a:extLst>
            <a:ext uri="{FF2B5EF4-FFF2-40B4-BE49-F238E27FC236}">
              <a16:creationId xmlns:a16="http://schemas.microsoft.com/office/drawing/2014/main" id="{161C8C4D-B2EE-55DE-A1B5-355D7F2021EF}"/>
            </a:ext>
          </a:extLst>
        </xdr:cNvPr>
        <xdr:cNvSpPr txBox="1"/>
      </xdr:nvSpPr>
      <xdr:spPr>
        <a:xfrm>
          <a:off x="11666220" y="1516380"/>
          <a:ext cx="1958340" cy="845820"/>
        </a:xfrm>
        <a:prstGeom prst="rect">
          <a:avLst/>
        </a:prstGeom>
        <a:solidFill>
          <a:srgbClr val="FF5050"/>
        </a:solidFill>
        <a:ln>
          <a:solidFill>
            <a:srgbClr val="C00000"/>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1BBFFFFD-EAAA-409D-9FB0-CA9714D885F3}" type="TxLink">
            <a:rPr lang="en-US" sz="1400" b="0" i="0" u="none" strike="noStrike">
              <a:solidFill>
                <a:srgbClr val="000000"/>
              </a:solidFill>
              <a:latin typeface="Calibri"/>
              <a:ea typeface="Calibri"/>
              <a:cs typeface="Calibri"/>
            </a:rPr>
            <a:pPr algn="ctr"/>
            <a:t>APOLLOHOSP (16.76%)</a:t>
          </a:fld>
          <a:endParaRPr lang="en-US" sz="2800"/>
        </a:p>
      </xdr:txBody>
    </xdr:sp>
    <xdr:clientData/>
  </xdr:twoCellAnchor>
  <xdr:twoCellAnchor editAs="absolute">
    <xdr:from>
      <xdr:col>14</xdr:col>
      <xdr:colOff>45720</xdr:colOff>
      <xdr:row>6</xdr:row>
      <xdr:rowOff>144780</xdr:rowOff>
    </xdr:from>
    <xdr:to>
      <xdr:col>16</xdr:col>
      <xdr:colOff>83820</xdr:colOff>
      <xdr:row>8</xdr:row>
      <xdr:rowOff>53340</xdr:rowOff>
    </xdr:to>
    <xdr:sp macro="" textlink="">
      <xdr:nvSpPr>
        <xdr:cNvPr id="18" name="TextBox 17">
          <a:extLst>
            <a:ext uri="{FF2B5EF4-FFF2-40B4-BE49-F238E27FC236}">
              <a16:creationId xmlns:a16="http://schemas.microsoft.com/office/drawing/2014/main" id="{61842804-0AA4-FEDC-88D6-B88D01A358CE}"/>
            </a:ext>
          </a:extLst>
        </xdr:cNvPr>
        <xdr:cNvSpPr txBox="1"/>
      </xdr:nvSpPr>
      <xdr:spPr>
        <a:xfrm>
          <a:off x="11727180" y="1577340"/>
          <a:ext cx="1836420" cy="320040"/>
        </a:xfrm>
        <a:prstGeom prst="rect">
          <a:avLst/>
        </a:prstGeom>
        <a:solidFill>
          <a:srgbClr val="FF5050"/>
        </a:solidFill>
        <a:ln w="9525" cmpd="sng">
          <a:solidFill>
            <a:srgbClr val="FF5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dk1"/>
              </a:solidFill>
              <a:effectLst/>
              <a:latin typeface="+mn-lt"/>
              <a:ea typeface="+mn-ea"/>
              <a:cs typeface="+mn-cs"/>
            </a:rPr>
            <a:t>    </a:t>
          </a:r>
          <a:r>
            <a:rPr lang="en-US" sz="1400" b="0" i="0" u="none" strike="noStrike">
              <a:solidFill>
                <a:schemeClr val="tx1"/>
              </a:solidFill>
              <a:effectLst/>
              <a:latin typeface="+mn-lt"/>
              <a:ea typeface="+mn-ea"/>
              <a:cs typeface="+mn-cs"/>
            </a:rPr>
            <a:t>Worst Performer</a:t>
          </a:r>
          <a:r>
            <a:rPr lang="en-US" sz="1400">
              <a:solidFill>
                <a:schemeClr val="tx1"/>
              </a:solidFill>
              <a:effectLst/>
            </a:rPr>
            <a:t> </a:t>
          </a:r>
          <a:endParaRPr lang="en-US" sz="1400">
            <a:solidFill>
              <a:schemeClr val="tx1"/>
            </a:solidFill>
          </a:endParaRPr>
        </a:p>
      </xdr:txBody>
    </xdr:sp>
    <xdr:clientData/>
  </xdr:twoCellAnchor>
  <xdr:twoCellAnchor editAs="absolute">
    <xdr:from>
      <xdr:col>0</xdr:col>
      <xdr:colOff>335280</xdr:colOff>
      <xdr:row>15</xdr:row>
      <xdr:rowOff>15240</xdr:rowOff>
    </xdr:from>
    <xdr:to>
      <xdr:col>2</xdr:col>
      <xdr:colOff>358140</xdr:colOff>
      <xdr:row>18</xdr:row>
      <xdr:rowOff>129540</xdr:rowOff>
    </xdr:to>
    <xdr:sp macro="" textlink="pivot_backend!AR5">
      <xdr:nvSpPr>
        <xdr:cNvPr id="19" name="TextBox 18">
          <a:extLst>
            <a:ext uri="{FF2B5EF4-FFF2-40B4-BE49-F238E27FC236}">
              <a16:creationId xmlns:a16="http://schemas.microsoft.com/office/drawing/2014/main" id="{24A71DD6-F46C-60A8-34D3-7A846AD10ADF}"/>
            </a:ext>
          </a:extLst>
        </xdr:cNvPr>
        <xdr:cNvSpPr txBox="1"/>
      </xdr:nvSpPr>
      <xdr:spPr>
        <a:xfrm>
          <a:off x="335280" y="3284220"/>
          <a:ext cx="1493520" cy="662940"/>
        </a:xfrm>
        <a:prstGeom prst="rect">
          <a:avLst/>
        </a:prstGeom>
        <a:solidFill>
          <a:schemeClr val="accent6">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08B914AB-D608-47ED-90B9-E1E2C9071681}" type="TxLink">
            <a:rPr lang="en-US" sz="2000" b="0" i="0" u="none" strike="noStrike">
              <a:solidFill>
                <a:srgbClr val="000000"/>
              </a:solidFill>
              <a:latin typeface="Calibri"/>
              <a:ea typeface="Calibri"/>
              <a:cs typeface="Calibri"/>
            </a:rPr>
            <a:pPr algn="ctr"/>
            <a:t>₹87,634</a:t>
          </a:fld>
          <a:endParaRPr lang="en-US" sz="4000"/>
        </a:p>
      </xdr:txBody>
    </xdr:sp>
    <xdr:clientData/>
  </xdr:twoCellAnchor>
  <xdr:twoCellAnchor editAs="absolute">
    <xdr:from>
      <xdr:col>0</xdr:col>
      <xdr:colOff>449580</xdr:colOff>
      <xdr:row>15</xdr:row>
      <xdr:rowOff>22860</xdr:rowOff>
    </xdr:from>
    <xdr:to>
      <xdr:col>2</xdr:col>
      <xdr:colOff>243840</xdr:colOff>
      <xdr:row>17</xdr:row>
      <xdr:rowOff>7620</xdr:rowOff>
    </xdr:to>
    <xdr:sp macro="" textlink="">
      <xdr:nvSpPr>
        <xdr:cNvPr id="20" name="TextBox 19">
          <a:extLst>
            <a:ext uri="{FF2B5EF4-FFF2-40B4-BE49-F238E27FC236}">
              <a16:creationId xmlns:a16="http://schemas.microsoft.com/office/drawing/2014/main" id="{6F8FBF00-F89E-3878-A532-9CA2FE5C362A}"/>
            </a:ext>
          </a:extLst>
        </xdr:cNvPr>
        <xdr:cNvSpPr txBox="1"/>
      </xdr:nvSpPr>
      <xdr:spPr>
        <a:xfrm>
          <a:off x="449580" y="3291840"/>
          <a:ext cx="1264920" cy="350520"/>
        </a:xfrm>
        <a:prstGeom prst="rect">
          <a:avLst/>
        </a:prstGeom>
        <a:solidFill>
          <a:schemeClr val="accent6">
            <a:lumMod val="40000"/>
            <a:lumOff val="6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accent6">
                  <a:lumMod val="50000"/>
                </a:schemeClr>
              </a:solidFill>
              <a:effectLst/>
              <a:latin typeface="+mn-lt"/>
              <a:ea typeface="+mn-ea"/>
              <a:cs typeface="+mn-cs"/>
            </a:rPr>
            <a:t>Portfolio</a:t>
          </a:r>
          <a:r>
            <a:rPr lang="en-US" sz="1400" b="0" i="0" u="none" strike="noStrike">
              <a:solidFill>
                <a:schemeClr val="dk1"/>
              </a:solidFill>
              <a:effectLst/>
              <a:latin typeface="+mn-lt"/>
              <a:ea typeface="+mn-ea"/>
              <a:cs typeface="+mn-cs"/>
            </a:rPr>
            <a:t> </a:t>
          </a:r>
          <a:r>
            <a:rPr lang="en-US" sz="1400" b="0" i="0" u="none" strike="noStrike">
              <a:solidFill>
                <a:schemeClr val="accent6">
                  <a:lumMod val="50000"/>
                </a:schemeClr>
              </a:solidFill>
              <a:effectLst/>
              <a:latin typeface="+mn-lt"/>
              <a:ea typeface="+mn-ea"/>
              <a:cs typeface="+mn-cs"/>
            </a:rPr>
            <a:t>Value</a:t>
          </a:r>
          <a:r>
            <a:rPr lang="en-US" sz="1400">
              <a:effectLst/>
            </a:rPr>
            <a:t> </a:t>
          </a:r>
          <a:endParaRPr lang="en-US" sz="1400"/>
        </a:p>
      </xdr:txBody>
    </xdr:sp>
    <xdr:clientData/>
  </xdr:twoCellAnchor>
  <xdr:twoCellAnchor editAs="absolute">
    <xdr:from>
      <xdr:col>3</xdr:col>
      <xdr:colOff>83820</xdr:colOff>
      <xdr:row>15</xdr:row>
      <xdr:rowOff>30480</xdr:rowOff>
    </xdr:from>
    <xdr:to>
      <xdr:col>4</xdr:col>
      <xdr:colOff>1089660</xdr:colOff>
      <xdr:row>18</xdr:row>
      <xdr:rowOff>144780</xdr:rowOff>
    </xdr:to>
    <xdr:sp macro="" textlink="pivot_backend!AP5">
      <xdr:nvSpPr>
        <xdr:cNvPr id="21" name="TextBox 20">
          <a:extLst>
            <a:ext uri="{FF2B5EF4-FFF2-40B4-BE49-F238E27FC236}">
              <a16:creationId xmlns:a16="http://schemas.microsoft.com/office/drawing/2014/main" id="{017C082F-F5C1-5655-510B-D2DE5221A102}"/>
            </a:ext>
          </a:extLst>
        </xdr:cNvPr>
        <xdr:cNvSpPr txBox="1"/>
      </xdr:nvSpPr>
      <xdr:spPr>
        <a:xfrm>
          <a:off x="2118360" y="3299460"/>
          <a:ext cx="1775460" cy="662940"/>
        </a:xfrm>
        <a:prstGeom prst="rect">
          <a:avLst/>
        </a:prstGeom>
        <a:solidFill>
          <a:schemeClr val="accent6">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33B3765D-2DF2-4A12-B7AE-2430389C2358}" type="TxLink">
            <a:rPr lang="en-US" sz="2000" b="0" i="0" u="none" strike="noStrike">
              <a:solidFill>
                <a:srgbClr val="000000"/>
              </a:solidFill>
              <a:latin typeface="Calibri"/>
              <a:ea typeface="Calibri"/>
              <a:cs typeface="Calibri"/>
            </a:rPr>
            <a:pPr algn="ctr"/>
            <a:t>₹104,250</a:t>
          </a:fld>
          <a:endParaRPr lang="en-US" sz="4000"/>
        </a:p>
      </xdr:txBody>
    </xdr:sp>
    <xdr:clientData/>
  </xdr:twoCellAnchor>
  <xdr:twoCellAnchor editAs="absolute">
    <xdr:from>
      <xdr:col>3</xdr:col>
      <xdr:colOff>144780</xdr:colOff>
      <xdr:row>15</xdr:row>
      <xdr:rowOff>53340</xdr:rowOff>
    </xdr:from>
    <xdr:to>
      <xdr:col>4</xdr:col>
      <xdr:colOff>1043940</xdr:colOff>
      <xdr:row>16</xdr:row>
      <xdr:rowOff>160020</xdr:rowOff>
    </xdr:to>
    <xdr:sp macro="" textlink="">
      <xdr:nvSpPr>
        <xdr:cNvPr id="22" name="TextBox 21">
          <a:extLst>
            <a:ext uri="{FF2B5EF4-FFF2-40B4-BE49-F238E27FC236}">
              <a16:creationId xmlns:a16="http://schemas.microsoft.com/office/drawing/2014/main" id="{B1534675-7135-CFB6-7237-710616050416}"/>
            </a:ext>
          </a:extLst>
        </xdr:cNvPr>
        <xdr:cNvSpPr txBox="1"/>
      </xdr:nvSpPr>
      <xdr:spPr>
        <a:xfrm>
          <a:off x="2179320" y="3322320"/>
          <a:ext cx="1668780" cy="289560"/>
        </a:xfrm>
        <a:prstGeom prst="rect">
          <a:avLst/>
        </a:prstGeom>
        <a:solidFill>
          <a:schemeClr val="accent6">
            <a:lumMod val="40000"/>
            <a:lumOff val="6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dk1"/>
              </a:solidFill>
              <a:effectLst/>
              <a:latin typeface="+mn-lt"/>
              <a:ea typeface="+mn-ea"/>
              <a:cs typeface="+mn-cs"/>
            </a:rPr>
            <a:t>    </a:t>
          </a:r>
          <a:r>
            <a:rPr lang="en-US" sz="1400" b="0" i="0" u="none" strike="noStrike">
              <a:solidFill>
                <a:schemeClr val="accent6">
                  <a:lumMod val="50000"/>
                </a:schemeClr>
              </a:solidFill>
              <a:effectLst/>
              <a:latin typeface="+mn-lt"/>
              <a:ea typeface="+mn-ea"/>
              <a:cs typeface="+mn-cs"/>
            </a:rPr>
            <a:t>Total Invested</a:t>
          </a:r>
          <a:r>
            <a:rPr lang="en-US" sz="1400">
              <a:solidFill>
                <a:schemeClr val="accent6">
                  <a:lumMod val="50000"/>
                </a:schemeClr>
              </a:solidFill>
              <a:effectLst/>
            </a:rPr>
            <a:t> </a:t>
          </a:r>
          <a:endParaRPr lang="en-US" sz="1400">
            <a:solidFill>
              <a:schemeClr val="accent6">
                <a:lumMod val="50000"/>
              </a:schemeClr>
            </a:solidFill>
          </a:endParaRPr>
        </a:p>
      </xdr:txBody>
    </xdr:sp>
    <xdr:clientData/>
  </xdr:twoCellAnchor>
  <xdr:twoCellAnchor editAs="absolute">
    <xdr:from>
      <xdr:col>5</xdr:col>
      <xdr:colOff>335280</xdr:colOff>
      <xdr:row>15</xdr:row>
      <xdr:rowOff>30480</xdr:rowOff>
    </xdr:from>
    <xdr:to>
      <xdr:col>7</xdr:col>
      <xdr:colOff>137160</xdr:colOff>
      <xdr:row>18</xdr:row>
      <xdr:rowOff>144780</xdr:rowOff>
    </xdr:to>
    <xdr:sp macro="" textlink="pivot_backend!AN5">
      <xdr:nvSpPr>
        <xdr:cNvPr id="23" name="TextBox 22">
          <a:extLst>
            <a:ext uri="{FF2B5EF4-FFF2-40B4-BE49-F238E27FC236}">
              <a16:creationId xmlns:a16="http://schemas.microsoft.com/office/drawing/2014/main" id="{C84F9CD9-040E-5096-EB2B-97F32D1805DA}"/>
            </a:ext>
          </a:extLst>
        </xdr:cNvPr>
        <xdr:cNvSpPr txBox="1"/>
      </xdr:nvSpPr>
      <xdr:spPr>
        <a:xfrm>
          <a:off x="4290060" y="3299460"/>
          <a:ext cx="1524000" cy="662940"/>
        </a:xfrm>
        <a:prstGeom prst="rect">
          <a:avLst/>
        </a:prstGeom>
        <a:solidFill>
          <a:schemeClr val="accent6">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6BC8D952-1F35-4CA2-9F37-7BDBBB50107E}" type="TxLink">
            <a:rPr lang="en-US" sz="1800" b="0" i="0" u="none" strike="noStrike">
              <a:solidFill>
                <a:srgbClr val="000000"/>
              </a:solidFill>
              <a:latin typeface="Calibri"/>
              <a:ea typeface="Calibri"/>
              <a:cs typeface="Calibri"/>
            </a:rPr>
            <a:pPr algn="ctr"/>
            <a:t>▼ -₹16,616</a:t>
          </a:fld>
          <a:endParaRPr lang="en-US" sz="16600">
            <a:solidFill>
              <a:srgbClr val="00FF00"/>
            </a:solidFill>
          </a:endParaRPr>
        </a:p>
      </xdr:txBody>
    </xdr:sp>
    <xdr:clientData/>
  </xdr:twoCellAnchor>
  <xdr:twoCellAnchor editAs="absolute">
    <xdr:from>
      <xdr:col>5</xdr:col>
      <xdr:colOff>373380</xdr:colOff>
      <xdr:row>15</xdr:row>
      <xdr:rowOff>60960</xdr:rowOff>
    </xdr:from>
    <xdr:to>
      <xdr:col>7</xdr:col>
      <xdr:colOff>30480</xdr:colOff>
      <xdr:row>17</xdr:row>
      <xdr:rowOff>15240</xdr:rowOff>
    </xdr:to>
    <xdr:sp macro="" textlink="">
      <xdr:nvSpPr>
        <xdr:cNvPr id="24" name="TextBox 23">
          <a:extLst>
            <a:ext uri="{FF2B5EF4-FFF2-40B4-BE49-F238E27FC236}">
              <a16:creationId xmlns:a16="http://schemas.microsoft.com/office/drawing/2014/main" id="{EDCE73DB-914B-A533-0D35-B86AB3562405}"/>
            </a:ext>
          </a:extLst>
        </xdr:cNvPr>
        <xdr:cNvSpPr txBox="1"/>
      </xdr:nvSpPr>
      <xdr:spPr>
        <a:xfrm>
          <a:off x="4328160" y="3329940"/>
          <a:ext cx="1379220" cy="320040"/>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accent6">
                  <a:lumMod val="50000"/>
                </a:schemeClr>
              </a:solidFill>
              <a:effectLst/>
              <a:latin typeface="+mn-lt"/>
              <a:ea typeface="+mn-ea"/>
              <a:cs typeface="+mn-cs"/>
            </a:rPr>
            <a:t>Total Gain/Loss</a:t>
          </a:r>
          <a:r>
            <a:rPr lang="en-US" sz="1400">
              <a:solidFill>
                <a:schemeClr val="accent6">
                  <a:lumMod val="50000"/>
                </a:schemeClr>
              </a:solidFill>
              <a:effectLst/>
            </a:rPr>
            <a:t> </a:t>
          </a:r>
          <a:endParaRPr lang="en-US" sz="1400">
            <a:solidFill>
              <a:schemeClr val="accent6">
                <a:lumMod val="50000"/>
              </a:schemeClr>
            </a:solidFill>
          </a:endParaRPr>
        </a:p>
      </xdr:txBody>
    </xdr:sp>
    <xdr:clientData/>
  </xdr:twoCellAnchor>
  <xdr:twoCellAnchor editAs="absolute">
    <xdr:from>
      <xdr:col>7</xdr:col>
      <xdr:colOff>441960</xdr:colOff>
      <xdr:row>15</xdr:row>
      <xdr:rowOff>15240</xdr:rowOff>
    </xdr:from>
    <xdr:to>
      <xdr:col>8</xdr:col>
      <xdr:colOff>731520</xdr:colOff>
      <xdr:row>18</xdr:row>
      <xdr:rowOff>134112</xdr:rowOff>
    </xdr:to>
    <xdr:sp macro="" textlink="pivot_backend!J13">
      <xdr:nvSpPr>
        <xdr:cNvPr id="25" name="TextBox 24">
          <a:extLst>
            <a:ext uri="{FF2B5EF4-FFF2-40B4-BE49-F238E27FC236}">
              <a16:creationId xmlns:a16="http://schemas.microsoft.com/office/drawing/2014/main" id="{4EA369C9-BE77-EE3F-B746-5A25830736CF}"/>
            </a:ext>
          </a:extLst>
        </xdr:cNvPr>
        <xdr:cNvSpPr txBox="1"/>
      </xdr:nvSpPr>
      <xdr:spPr>
        <a:xfrm>
          <a:off x="6118860" y="3284220"/>
          <a:ext cx="1234440" cy="667512"/>
        </a:xfrm>
        <a:prstGeom prst="rect">
          <a:avLst/>
        </a:prstGeom>
        <a:solidFill>
          <a:schemeClr val="accent6">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978F3E50-4133-49A6-9EBB-63E505BC4733}" type="TxLink">
            <a:rPr lang="en-US" sz="2000" b="0" i="0" u="none" strike="noStrike">
              <a:solidFill>
                <a:srgbClr val="000000"/>
              </a:solidFill>
              <a:latin typeface="Calibri"/>
              <a:ea typeface="Calibri"/>
              <a:cs typeface="Calibri"/>
            </a:rPr>
            <a:pPr algn="ctr"/>
            <a:t>15</a:t>
          </a:fld>
          <a:endParaRPr lang="en-US" sz="2000"/>
        </a:p>
      </xdr:txBody>
    </xdr:sp>
    <xdr:clientData/>
  </xdr:twoCellAnchor>
  <xdr:twoCellAnchor editAs="absolute">
    <xdr:from>
      <xdr:col>7</xdr:col>
      <xdr:colOff>556260</xdr:colOff>
      <xdr:row>15</xdr:row>
      <xdr:rowOff>45720</xdr:rowOff>
    </xdr:from>
    <xdr:to>
      <xdr:col>8</xdr:col>
      <xdr:colOff>678180</xdr:colOff>
      <xdr:row>16</xdr:row>
      <xdr:rowOff>167640</xdr:rowOff>
    </xdr:to>
    <xdr:sp macro="" textlink="">
      <xdr:nvSpPr>
        <xdr:cNvPr id="26" name="TextBox 25">
          <a:extLst>
            <a:ext uri="{FF2B5EF4-FFF2-40B4-BE49-F238E27FC236}">
              <a16:creationId xmlns:a16="http://schemas.microsoft.com/office/drawing/2014/main" id="{5A7D8904-1547-6174-6DFF-4AA02D9161E1}"/>
            </a:ext>
          </a:extLst>
        </xdr:cNvPr>
        <xdr:cNvSpPr txBox="1"/>
      </xdr:nvSpPr>
      <xdr:spPr>
        <a:xfrm>
          <a:off x="6233160" y="3314700"/>
          <a:ext cx="1066800" cy="304800"/>
        </a:xfrm>
        <a:prstGeom prst="rect">
          <a:avLst/>
        </a:prstGeom>
        <a:solidFill>
          <a:schemeClr val="accent6">
            <a:lumMod val="40000"/>
            <a:lumOff val="6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accent6">
                  <a:lumMod val="50000"/>
                </a:schemeClr>
              </a:solidFill>
              <a:effectLst/>
              <a:latin typeface="+mn-lt"/>
              <a:ea typeface="+mn-ea"/>
              <a:cs typeface="+mn-cs"/>
            </a:rPr>
            <a:t>  Holdings</a:t>
          </a:r>
          <a:r>
            <a:rPr lang="en-US" sz="1400">
              <a:solidFill>
                <a:schemeClr val="accent6">
                  <a:lumMod val="50000"/>
                </a:schemeClr>
              </a:solidFill>
              <a:effectLst/>
            </a:rPr>
            <a:t> </a:t>
          </a:r>
          <a:endParaRPr lang="en-US" sz="1400">
            <a:solidFill>
              <a:schemeClr val="accent6">
                <a:lumMod val="50000"/>
              </a:schemeClr>
            </a:solidFill>
          </a:endParaRPr>
        </a:p>
      </xdr:txBody>
    </xdr:sp>
    <xdr:clientData/>
  </xdr:twoCellAnchor>
  <xdr:twoCellAnchor editAs="absolute">
    <xdr:from>
      <xdr:col>8</xdr:col>
      <xdr:colOff>1074420</xdr:colOff>
      <xdr:row>15</xdr:row>
      <xdr:rowOff>15240</xdr:rowOff>
    </xdr:from>
    <xdr:to>
      <xdr:col>10</xdr:col>
      <xdr:colOff>594360</xdr:colOff>
      <xdr:row>18</xdr:row>
      <xdr:rowOff>134112</xdr:rowOff>
    </xdr:to>
    <xdr:sp macro="" textlink="pivot_backend!K14">
      <xdr:nvSpPr>
        <xdr:cNvPr id="27" name="TextBox 26">
          <a:extLst>
            <a:ext uri="{FF2B5EF4-FFF2-40B4-BE49-F238E27FC236}">
              <a16:creationId xmlns:a16="http://schemas.microsoft.com/office/drawing/2014/main" id="{F8E7FC0D-8552-DB9D-3946-7CCEBF2A5B76}"/>
            </a:ext>
          </a:extLst>
        </xdr:cNvPr>
        <xdr:cNvSpPr txBox="1"/>
      </xdr:nvSpPr>
      <xdr:spPr>
        <a:xfrm>
          <a:off x="7696200" y="3284220"/>
          <a:ext cx="1325880" cy="667512"/>
        </a:xfrm>
        <a:prstGeom prst="rect">
          <a:avLst/>
        </a:prstGeom>
        <a:solidFill>
          <a:schemeClr val="accent6">
            <a:lumMod val="20000"/>
            <a:lumOff val="8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763F2CC5-2337-43FD-A447-23BE9D0152D7}" type="TxLink">
            <a:rPr lang="en-US" sz="1800" b="0" i="0" u="none" strike="noStrike">
              <a:solidFill>
                <a:srgbClr val="000000"/>
              </a:solidFill>
              <a:latin typeface="Calibri"/>
              <a:ea typeface="Calibri"/>
              <a:cs typeface="Calibri"/>
            </a:rPr>
            <a:pPr algn="ctr"/>
            <a:t>▼ 26.10%</a:t>
          </a:fld>
          <a:endParaRPr lang="en-US" sz="3600"/>
        </a:p>
      </xdr:txBody>
    </xdr:sp>
    <xdr:clientData/>
  </xdr:twoCellAnchor>
  <xdr:twoCellAnchor editAs="absolute">
    <xdr:from>
      <xdr:col>8</xdr:col>
      <xdr:colOff>1097280</xdr:colOff>
      <xdr:row>15</xdr:row>
      <xdr:rowOff>30480</xdr:rowOff>
    </xdr:from>
    <xdr:to>
      <xdr:col>10</xdr:col>
      <xdr:colOff>548640</xdr:colOff>
      <xdr:row>17</xdr:row>
      <xdr:rowOff>0</xdr:rowOff>
    </xdr:to>
    <xdr:sp macro="" textlink="">
      <xdr:nvSpPr>
        <xdr:cNvPr id="28" name="TextBox 27">
          <a:extLst>
            <a:ext uri="{FF2B5EF4-FFF2-40B4-BE49-F238E27FC236}">
              <a16:creationId xmlns:a16="http://schemas.microsoft.com/office/drawing/2014/main" id="{71686CFA-99FE-AD96-B96E-594BAECE373D}"/>
            </a:ext>
          </a:extLst>
        </xdr:cNvPr>
        <xdr:cNvSpPr txBox="1"/>
      </xdr:nvSpPr>
      <xdr:spPr>
        <a:xfrm>
          <a:off x="7719060" y="3299460"/>
          <a:ext cx="1257300" cy="335280"/>
        </a:xfrm>
        <a:prstGeom prst="rect">
          <a:avLst/>
        </a:prstGeom>
        <a:solidFill>
          <a:schemeClr val="accent6">
            <a:lumMod val="20000"/>
            <a:lumOff val="80000"/>
          </a:schemeClr>
        </a:solidFill>
        <a:ln w="9525" cmpd="sng">
          <a:solidFill>
            <a:schemeClr val="accent6">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6">
                  <a:lumMod val="50000"/>
                </a:schemeClr>
              </a:solidFill>
            </a:rPr>
            <a:t>Total Return %</a:t>
          </a:r>
        </a:p>
      </xdr:txBody>
    </xdr:sp>
    <xdr:clientData/>
  </xdr:twoCellAnchor>
  <xdr:twoCellAnchor editAs="absolute">
    <xdr:from>
      <xdr:col>11</xdr:col>
      <xdr:colOff>220980</xdr:colOff>
      <xdr:row>15</xdr:row>
      <xdr:rowOff>15240</xdr:rowOff>
    </xdr:from>
    <xdr:to>
      <xdr:col>12</xdr:col>
      <xdr:colOff>533400</xdr:colOff>
      <xdr:row>18</xdr:row>
      <xdr:rowOff>134112</xdr:rowOff>
    </xdr:to>
    <xdr:sp macro="" textlink="pivot_backend!H16">
      <xdr:nvSpPr>
        <xdr:cNvPr id="29" name="TextBox 28">
          <a:extLst>
            <a:ext uri="{FF2B5EF4-FFF2-40B4-BE49-F238E27FC236}">
              <a16:creationId xmlns:a16="http://schemas.microsoft.com/office/drawing/2014/main" id="{0FF7AA28-F84E-D897-3541-2680BD289BE5}"/>
            </a:ext>
          </a:extLst>
        </xdr:cNvPr>
        <xdr:cNvSpPr txBox="1"/>
      </xdr:nvSpPr>
      <xdr:spPr>
        <a:xfrm>
          <a:off x="9418320" y="3284220"/>
          <a:ext cx="1463040" cy="667512"/>
        </a:xfrm>
        <a:prstGeom prst="rect">
          <a:avLst/>
        </a:prstGeom>
        <a:solidFill>
          <a:schemeClr val="accent6">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BE0273AF-DFFB-4F80-94C2-BE40BB588FF1}" type="TxLink">
            <a:rPr lang="en-US" sz="2000" b="0" i="0" u="none" strike="noStrike">
              <a:solidFill>
                <a:srgbClr val="000000"/>
              </a:solidFill>
              <a:latin typeface="Calibri"/>
              <a:ea typeface="Calibri"/>
              <a:cs typeface="Calibri"/>
            </a:rPr>
            <a:pPr algn="ctr"/>
            <a:t>5</a:t>
          </a:fld>
          <a:endParaRPr lang="en-US" sz="2000"/>
        </a:p>
      </xdr:txBody>
    </xdr:sp>
    <xdr:clientData/>
  </xdr:twoCellAnchor>
  <xdr:twoCellAnchor editAs="absolute">
    <xdr:from>
      <xdr:col>11</xdr:col>
      <xdr:colOff>411480</xdr:colOff>
      <xdr:row>15</xdr:row>
      <xdr:rowOff>38100</xdr:rowOff>
    </xdr:from>
    <xdr:to>
      <xdr:col>12</xdr:col>
      <xdr:colOff>449580</xdr:colOff>
      <xdr:row>16</xdr:row>
      <xdr:rowOff>137160</xdr:rowOff>
    </xdr:to>
    <xdr:sp macro="" textlink="">
      <xdr:nvSpPr>
        <xdr:cNvPr id="30" name="TextBox 29">
          <a:extLst>
            <a:ext uri="{FF2B5EF4-FFF2-40B4-BE49-F238E27FC236}">
              <a16:creationId xmlns:a16="http://schemas.microsoft.com/office/drawing/2014/main" id="{0C396EE3-992B-7FBA-2C94-ECEC240B031E}"/>
            </a:ext>
          </a:extLst>
        </xdr:cNvPr>
        <xdr:cNvSpPr txBox="1"/>
      </xdr:nvSpPr>
      <xdr:spPr>
        <a:xfrm>
          <a:off x="9608820" y="3307080"/>
          <a:ext cx="1188720" cy="281940"/>
        </a:xfrm>
        <a:prstGeom prst="rect">
          <a:avLst/>
        </a:prstGeom>
        <a:solidFill>
          <a:schemeClr val="accent6">
            <a:lumMod val="40000"/>
            <a:lumOff val="6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accent6">
                  <a:lumMod val="50000"/>
                </a:schemeClr>
              </a:solidFill>
              <a:effectLst/>
              <a:latin typeface="+mn-lt"/>
              <a:ea typeface="+mn-ea"/>
              <a:cs typeface="+mn-cs"/>
            </a:rPr>
            <a:t>Stock count</a:t>
          </a:r>
          <a:r>
            <a:rPr lang="en-US" sz="1400">
              <a:solidFill>
                <a:schemeClr val="accent6">
                  <a:lumMod val="50000"/>
                </a:schemeClr>
              </a:solidFill>
              <a:effectLst/>
            </a:rPr>
            <a:t> </a:t>
          </a:r>
          <a:endParaRPr lang="en-US" sz="1400">
            <a:solidFill>
              <a:schemeClr val="accent6">
                <a:lumMod val="50000"/>
              </a:schemeClr>
            </a:solidFill>
          </a:endParaRPr>
        </a:p>
      </xdr:txBody>
    </xdr:sp>
    <xdr:clientData/>
  </xdr:twoCellAnchor>
  <xdr:twoCellAnchor editAs="absolute">
    <xdr:from>
      <xdr:col>13</xdr:col>
      <xdr:colOff>335280</xdr:colOff>
      <xdr:row>15</xdr:row>
      <xdr:rowOff>22860</xdr:rowOff>
    </xdr:from>
    <xdr:to>
      <xdr:col>15</xdr:col>
      <xdr:colOff>335280</xdr:colOff>
      <xdr:row>18</xdr:row>
      <xdr:rowOff>141732</xdr:rowOff>
    </xdr:to>
    <xdr:sp macro="" textlink="pivot_backend!H21">
      <xdr:nvSpPr>
        <xdr:cNvPr id="31" name="TextBox 30">
          <a:extLst>
            <a:ext uri="{FF2B5EF4-FFF2-40B4-BE49-F238E27FC236}">
              <a16:creationId xmlns:a16="http://schemas.microsoft.com/office/drawing/2014/main" id="{95614271-D9CC-D885-9713-599A77BC5373}"/>
            </a:ext>
          </a:extLst>
        </xdr:cNvPr>
        <xdr:cNvSpPr txBox="1"/>
      </xdr:nvSpPr>
      <xdr:spPr>
        <a:xfrm>
          <a:off x="11247120" y="3291840"/>
          <a:ext cx="1958340" cy="667512"/>
        </a:xfrm>
        <a:prstGeom prst="rect">
          <a:avLst/>
        </a:prstGeom>
        <a:solidFill>
          <a:schemeClr val="accent6">
            <a:lumMod val="40000"/>
            <a:lumOff val="6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b"/>
        <a:lstStyle/>
        <a:p>
          <a:pPr algn="ctr"/>
          <a:fld id="{BBD5228D-AC1F-4E9C-A0A1-ABC61AA7C8D1}" type="TxLink">
            <a:rPr lang="en-US" sz="2000" b="0" i="0" u="none" strike="noStrike">
              <a:solidFill>
                <a:srgbClr val="000000"/>
              </a:solidFill>
              <a:latin typeface="Calibri"/>
              <a:ea typeface="Calibri"/>
              <a:cs typeface="Calibri"/>
            </a:rPr>
            <a:pPr algn="ctr"/>
            <a:t>₹41,860</a:t>
          </a:fld>
          <a:endParaRPr lang="en-US" sz="2000"/>
        </a:p>
      </xdr:txBody>
    </xdr:sp>
    <xdr:clientData/>
  </xdr:twoCellAnchor>
  <xdr:twoCellAnchor editAs="absolute">
    <xdr:from>
      <xdr:col>13</xdr:col>
      <xdr:colOff>365760</xdr:colOff>
      <xdr:row>15</xdr:row>
      <xdr:rowOff>38100</xdr:rowOff>
    </xdr:from>
    <xdr:to>
      <xdr:col>15</xdr:col>
      <xdr:colOff>297180</xdr:colOff>
      <xdr:row>16</xdr:row>
      <xdr:rowOff>175260</xdr:rowOff>
    </xdr:to>
    <xdr:sp macro="" textlink="">
      <xdr:nvSpPr>
        <xdr:cNvPr id="32" name="TextBox 31">
          <a:extLst>
            <a:ext uri="{FF2B5EF4-FFF2-40B4-BE49-F238E27FC236}">
              <a16:creationId xmlns:a16="http://schemas.microsoft.com/office/drawing/2014/main" id="{561FA116-8EA9-9110-7096-A889454A1CE4}"/>
            </a:ext>
          </a:extLst>
        </xdr:cNvPr>
        <xdr:cNvSpPr txBox="1"/>
      </xdr:nvSpPr>
      <xdr:spPr>
        <a:xfrm>
          <a:off x="11277600" y="3307080"/>
          <a:ext cx="1889760" cy="320040"/>
        </a:xfrm>
        <a:prstGeom prst="rect">
          <a:avLst/>
        </a:prstGeom>
        <a:solidFill>
          <a:schemeClr val="accent6">
            <a:lumMod val="40000"/>
            <a:lumOff val="60000"/>
          </a:schemeClr>
        </a:solidFill>
        <a:ln w="9525" cmpd="sng">
          <a:solidFill>
            <a:schemeClr val="accent6">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i="0" u="none" strike="noStrike">
              <a:solidFill>
                <a:schemeClr val="accent6">
                  <a:lumMod val="50000"/>
                </a:schemeClr>
              </a:solidFill>
              <a:effectLst/>
              <a:latin typeface="+mn-lt"/>
              <a:ea typeface="+mn-ea"/>
              <a:cs typeface="+mn-cs"/>
            </a:rPr>
            <a:t>Total transaction value</a:t>
          </a:r>
          <a:r>
            <a:rPr lang="en-US" sz="1400">
              <a:solidFill>
                <a:schemeClr val="accent6">
                  <a:lumMod val="50000"/>
                </a:schemeClr>
              </a:solidFill>
              <a:effectLst/>
            </a:rPr>
            <a:t> </a:t>
          </a:r>
          <a:endParaRPr lang="en-US" sz="1400">
            <a:solidFill>
              <a:schemeClr val="accent6">
                <a:lumMod val="50000"/>
              </a:schemeClr>
            </a:solidFill>
          </a:endParaRPr>
        </a:p>
      </xdr:txBody>
    </xdr:sp>
    <xdr:clientData/>
  </xdr:twoCellAnchor>
  <xdr:twoCellAnchor>
    <xdr:from>
      <xdr:col>3</xdr:col>
      <xdr:colOff>597350</xdr:colOff>
      <xdr:row>0</xdr:row>
      <xdr:rowOff>6596</xdr:rowOff>
    </xdr:from>
    <xdr:to>
      <xdr:col>4</xdr:col>
      <xdr:colOff>310315</xdr:colOff>
      <xdr:row>2</xdr:row>
      <xdr:rowOff>145805</xdr:rowOff>
    </xdr:to>
    <mc:AlternateContent xmlns:mc="http://schemas.openxmlformats.org/markup-compatibility/2006">
      <mc:Choice xmlns:am3d="http://schemas.microsoft.com/office/drawing/2017/model3d" Requires="am3d">
        <xdr:graphicFrame macro="">
          <xdr:nvGraphicFramePr>
            <xdr:cNvPr id="33" name="3D Model 32" descr="Upward Trend">
              <a:extLst>
                <a:ext uri="{FF2B5EF4-FFF2-40B4-BE49-F238E27FC236}">
                  <a16:creationId xmlns:a16="http://schemas.microsoft.com/office/drawing/2014/main" id="{29E39F7F-7CFE-6A7C-D4EC-C6D19C397733}"/>
                </a:ext>
              </a:extLst>
            </xdr:cNvPr>
            <xdr:cNvGraphicFramePr>
              <a:graphicFrameLocks noChangeAspect="1"/>
            </xdr:cNvGraphicFramePr>
          </xdr:nvGraphicFramePr>
          <xdr:xfrm>
            <a:off x="0" y="0"/>
            <a:ext cx="0" cy="0"/>
          </xdr:xfrm>
          <a:graphic>
            <a:graphicData uri="http://schemas.microsoft.com/office/drawing/2017/model3d">
              <am3d:model3d xmlns:r="http://schemas.openxmlformats.org/officeDocument/2006/relationships" r:embed="rId5">
                <am3d:spPr>
                  <a:xfrm>
                    <a:off x="0" y="0"/>
                    <a:ext cx="486171" cy="497797"/>
                  </a:xfrm>
                  <a:prstGeom prst="rect">
                    <a:avLst/>
                  </a:prstGeom>
                </am3d:spPr>
                <am3d:camera>
                  <am3d:pos x="0" y="0" z="65012918"/>
                  <am3d:up dx="0" dy="36000000" dz="0"/>
                  <am3d:lookAt x="0" y="0" z="0"/>
                  <am3d:perspective fov="2700000"/>
                </am3d:camera>
                <am3d:trans>
                  <am3d:meterPerModelUnit n="101711" d="1000000"/>
                  <am3d:preTrans dx="0" dy="-16609428" dz="0"/>
                  <am3d:scale>
                    <am3d:sx n="1000000" d="1000000"/>
                    <am3d:sy n="1000000" d="1000000"/>
                    <am3d:sz n="1000000" d="1000000"/>
                  </am3d:scale>
                  <am3d:rot ax="234256" ay="1365143" az="90711"/>
                  <am3d:postTrans dx="0" dy="0" dz="0"/>
                </am3d:trans>
                <am3d:raster rName="Office3DRenderer" rVer="16.0.8326">
                  <am3d:blip r:embed="rId6"/>
                </am3d:raster>
                <am3d:objViewport viewportSz="657624"/>
                <am3d:ambientLight>
                  <am3d:clr>
                    <a:scrgbClr r="50000" g="50000" b="50000"/>
                  </am3d:clr>
                  <am3d:illuminance n="500000" d="1000000"/>
                </am3d:ambientLight>
                <am3d:ptLight rad="0">
                  <am3d:clr>
                    <a:scrgbClr r="100000" g="75000" b="50000"/>
                  </am3d:clr>
                  <am3d:intensity n="9765625" d="1000000"/>
                  <am3d:pos x="21959998" y="70920001" z="16344003"/>
                </am3d:ptLight>
                <am3d:ptLight rad="0">
                  <am3d:clr>
                    <a:scrgbClr r="40000" g="60000" b="95000"/>
                  </am3d:clr>
                  <am3d:intensity n="12250000" d="1000000"/>
                  <am3d:pos x="-37964106" y="51130435" z="57631972"/>
                </am3d:ptLight>
                <am3d:ptLight rad="0">
                  <am3d:clr>
                    <a:scrgbClr r="86837" g="72700" b="100000"/>
                  </am3d:clr>
                  <am3d:intensity n="3125000" d="1000000"/>
                  <am3d:pos x="-37739122" y="58056624" z="-34769649"/>
                </am3d:ptLight>
              </am3d:model3d>
            </a:graphicData>
          </a:graphic>
        </xdr:graphicFrame>
      </mc:Choice>
      <mc:Fallback>
        <xdr:pic>
          <xdr:nvPicPr>
            <xdr:cNvPr id="33" name="3D Model 32" descr="Upward Trend">
              <a:extLst>
                <a:ext uri="{FF2B5EF4-FFF2-40B4-BE49-F238E27FC236}">
                  <a16:creationId xmlns:a16="http://schemas.microsoft.com/office/drawing/2014/main" id="{29E39F7F-7CFE-6A7C-D4EC-C6D19C397733}"/>
                </a:ext>
              </a:extLst>
            </xdr:cNvPr>
            <xdr:cNvPicPr>
              <a:picLocks noGrp="1" noRot="1" noChangeAspect="1" noMove="1" noResize="1" noEditPoints="1" noAdjustHandles="1" noChangeArrowheads="1" noChangeShapeType="1" noCrop="1"/>
            </xdr:cNvPicPr>
          </xdr:nvPicPr>
          <xdr:blipFill>
            <a:blip xmlns:r="http://schemas.openxmlformats.org/officeDocument/2006/relationships" r:embed="rId6"/>
            <a:stretch>
              <a:fillRect/>
            </a:stretch>
          </xdr:blipFill>
          <xdr:spPr>
            <a:xfrm>
              <a:off x="2625615" y="6596"/>
              <a:ext cx="486171" cy="497797"/>
            </a:xfrm>
            <a:prstGeom prst="rect">
              <a:avLst/>
            </a:prstGeom>
          </xdr:spPr>
        </xdr:pic>
      </mc:Fallback>
    </mc:AlternateContent>
    <xdr:clientData/>
  </xdr:twoCellAnchor>
  <xdr:twoCellAnchor editAs="absolute">
    <xdr:from>
      <xdr:col>11</xdr:col>
      <xdr:colOff>822960</xdr:colOff>
      <xdr:row>37</xdr:row>
      <xdr:rowOff>76200</xdr:rowOff>
    </xdr:from>
    <xdr:to>
      <xdr:col>17</xdr:col>
      <xdr:colOff>541020</xdr:colOff>
      <xdr:row>53</xdr:row>
      <xdr:rowOff>15240</xdr:rowOff>
    </xdr:to>
    <xdr:graphicFrame macro="">
      <xdr:nvGraphicFramePr>
        <xdr:cNvPr id="12" name="Chart 11">
          <a:extLst>
            <a:ext uri="{FF2B5EF4-FFF2-40B4-BE49-F238E27FC236}">
              <a16:creationId xmlns:a16="http://schemas.microsoft.com/office/drawing/2014/main" id="{9E6CC27B-F07C-41D0-8F53-80A102C64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9</xdr:col>
      <xdr:colOff>53340</xdr:colOff>
      <xdr:row>3</xdr:row>
      <xdr:rowOff>167640</xdr:rowOff>
    </xdr:from>
    <xdr:to>
      <xdr:col>10</xdr:col>
      <xdr:colOff>419100</xdr:colOff>
      <xdr:row>4</xdr:row>
      <xdr:rowOff>228600</xdr:rowOff>
    </xdr:to>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C896A7ED-88C8-E894-71AA-D1B80F6D0702}"/>
            </a:ext>
          </a:extLst>
        </xdr:cNvPr>
        <xdr:cNvSpPr/>
      </xdr:nvSpPr>
      <xdr:spPr>
        <a:xfrm>
          <a:off x="7917180" y="861060"/>
          <a:ext cx="929640" cy="28956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Dashboard</a:t>
          </a:r>
        </a:p>
      </xdr:txBody>
    </xdr:sp>
    <xdr:clientData fLocksWithSheet="0"/>
  </xdr:twoCellAnchor>
  <xdr:twoCellAnchor editAs="absolute">
    <xdr:from>
      <xdr:col>12</xdr:col>
      <xdr:colOff>121920</xdr:colOff>
      <xdr:row>3</xdr:row>
      <xdr:rowOff>167640</xdr:rowOff>
    </xdr:from>
    <xdr:to>
      <xdr:col>14</xdr:col>
      <xdr:colOff>45720</xdr:colOff>
      <xdr:row>4</xdr:row>
      <xdr:rowOff>236220</xdr:rowOff>
    </xdr:to>
    <xdr:sp macro="" textlink="">
      <xdr:nvSpPr>
        <xdr:cNvPr id="15" name="Rectangle: Rounded Corners 14">
          <a:hlinkClick xmlns:r="http://schemas.openxmlformats.org/officeDocument/2006/relationships" r:id="rId9"/>
          <a:extLst>
            <a:ext uri="{FF2B5EF4-FFF2-40B4-BE49-F238E27FC236}">
              <a16:creationId xmlns:a16="http://schemas.microsoft.com/office/drawing/2014/main" id="{0274EB77-58B5-23D4-3B7B-555E619EB548}"/>
            </a:ext>
          </a:extLst>
        </xdr:cNvPr>
        <xdr:cNvSpPr/>
      </xdr:nvSpPr>
      <xdr:spPr>
        <a:xfrm>
          <a:off x="10469880" y="861060"/>
          <a:ext cx="1257300" cy="29718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ctr"/>
          <a:r>
            <a:rPr lang="en-US" sz="1100"/>
            <a:t>Transactions</a:t>
          </a:r>
        </a:p>
      </xdr:txBody>
    </xdr:sp>
    <xdr:clientData fLocksWithSheet="0"/>
  </xdr:twoCellAnchor>
  <xdr:twoCellAnchor editAs="absolute">
    <xdr:from>
      <xdr:col>11</xdr:col>
      <xdr:colOff>7620</xdr:colOff>
      <xdr:row>3</xdr:row>
      <xdr:rowOff>167640</xdr:rowOff>
    </xdr:from>
    <xdr:to>
      <xdr:col>11</xdr:col>
      <xdr:colOff>937260</xdr:colOff>
      <xdr:row>4</xdr:row>
      <xdr:rowOff>228600</xdr:rowOff>
    </xdr:to>
    <xdr:sp macro="" textlink="">
      <xdr:nvSpPr>
        <xdr:cNvPr id="34" name="Rectangle: Rounded Corners 33">
          <a:hlinkClick xmlns:r="http://schemas.openxmlformats.org/officeDocument/2006/relationships" r:id="rId10"/>
          <a:extLst>
            <a:ext uri="{FF2B5EF4-FFF2-40B4-BE49-F238E27FC236}">
              <a16:creationId xmlns:a16="http://schemas.microsoft.com/office/drawing/2014/main" id="{740A2E8B-C379-9F7E-7896-D1A32CA7D323}"/>
            </a:ext>
          </a:extLst>
        </xdr:cNvPr>
        <xdr:cNvSpPr/>
      </xdr:nvSpPr>
      <xdr:spPr>
        <a:xfrm>
          <a:off x="9204960" y="861060"/>
          <a:ext cx="929640" cy="28956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User Input</a:t>
          </a:r>
        </a:p>
      </xdr:txBody>
    </xdr:sp>
    <xdr:clientData fLocksWithSheet="0"/>
  </xdr:twoCellAnchor>
  <xdr:twoCellAnchor>
    <xdr:from>
      <xdr:col>0</xdr:col>
      <xdr:colOff>137160</xdr:colOff>
      <xdr:row>3</xdr:row>
      <xdr:rowOff>175260</xdr:rowOff>
    </xdr:from>
    <xdr:to>
      <xdr:col>4</xdr:col>
      <xdr:colOff>83820</xdr:colOff>
      <xdr:row>4</xdr:row>
      <xdr:rowOff>236220</xdr:rowOff>
    </xdr:to>
    <xdr:sp macro="" textlink="pivot_backend!AI4">
      <xdr:nvSpPr>
        <xdr:cNvPr id="35" name="Rectangle 34">
          <a:extLst>
            <a:ext uri="{FF2B5EF4-FFF2-40B4-BE49-F238E27FC236}">
              <a16:creationId xmlns:a16="http://schemas.microsoft.com/office/drawing/2014/main" id="{5120F236-98FA-FFA0-8FFE-146530DA6FD6}"/>
            </a:ext>
          </a:extLst>
        </xdr:cNvPr>
        <xdr:cNvSpPr/>
      </xdr:nvSpPr>
      <xdr:spPr>
        <a:xfrm>
          <a:off x="137160" y="868680"/>
          <a:ext cx="3322320" cy="289560"/>
        </a:xfrm>
        <a:prstGeom prst="rect">
          <a:avLst/>
        </a:prstGeom>
        <a:solidFill>
          <a:schemeClr val="accent6">
            <a:lumMod val="20000"/>
            <a:lumOff val="80000"/>
          </a:schemeClr>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fld id="{3516218B-1CAA-4E3D-8E22-9780126E1B83}" type="TxLink">
            <a:rPr lang="en-US" sz="1100" b="0" i="0" u="none" strike="noStrike">
              <a:ln>
                <a:solidFill>
                  <a:schemeClr val="bg2">
                    <a:lumMod val="50000"/>
                  </a:schemeClr>
                </a:solidFill>
              </a:ln>
              <a:solidFill>
                <a:schemeClr val="tx1">
                  <a:lumMod val="95000"/>
                  <a:lumOff val="5000"/>
                </a:schemeClr>
              </a:solidFill>
              <a:latin typeface="Calibri"/>
              <a:ea typeface="Calibri"/>
              <a:cs typeface="Calibri"/>
            </a:rPr>
            <a:pPr algn="l"/>
            <a:t>Last Updated: 03-Jul-2026 04:08 PM</a:t>
          </a:fld>
          <a:endParaRPr lang="en-US" sz="1100">
            <a:ln>
              <a:solidFill>
                <a:schemeClr val="bg2">
                  <a:lumMod val="50000"/>
                </a:schemeClr>
              </a:solidFill>
            </a:ln>
            <a:solidFill>
              <a:schemeClr val="tx1">
                <a:lumMod val="95000"/>
                <a:lumOff val="5000"/>
              </a:schemeClr>
            </a:solidFill>
          </a:endParaRPr>
        </a:p>
      </xdr:txBody>
    </xdr:sp>
    <xdr:clientData/>
  </xdr:twoCellAnchor>
  <xdr:twoCellAnchor>
    <xdr:from>
      <xdr:col>14</xdr:col>
      <xdr:colOff>830580</xdr:colOff>
      <xdr:row>3</xdr:row>
      <xdr:rowOff>175260</xdr:rowOff>
    </xdr:from>
    <xdr:to>
      <xdr:col>15</xdr:col>
      <xdr:colOff>594360</xdr:colOff>
      <xdr:row>4</xdr:row>
      <xdr:rowOff>259080</xdr:rowOff>
    </xdr:to>
    <xdr:sp macro="[0]!ResetDashboard" textlink="">
      <xdr:nvSpPr>
        <xdr:cNvPr id="42" name="Rectangle 41">
          <a:extLst>
            <a:ext uri="{FF2B5EF4-FFF2-40B4-BE49-F238E27FC236}">
              <a16:creationId xmlns:a16="http://schemas.microsoft.com/office/drawing/2014/main" id="{F47F3214-7CA0-CC25-B8E7-04ABA785929E}"/>
            </a:ext>
          </a:extLst>
        </xdr:cNvPr>
        <xdr:cNvSpPr/>
      </xdr:nvSpPr>
      <xdr:spPr>
        <a:xfrm>
          <a:off x="12512040" y="868680"/>
          <a:ext cx="952500" cy="31242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Clear Filters</a:t>
          </a:r>
        </a:p>
      </xdr:txBody>
    </xdr:sp>
    <xdr:clientData/>
  </xdr:twoCellAnchor>
  <xdr:twoCellAnchor editAs="absolute">
    <xdr:from>
      <xdr:col>0</xdr:col>
      <xdr:colOff>0</xdr:colOff>
      <xdr:row>54</xdr:row>
      <xdr:rowOff>71583</xdr:rowOff>
    </xdr:from>
    <xdr:to>
      <xdr:col>25</xdr:col>
      <xdr:colOff>134471</xdr:colOff>
      <xdr:row>56</xdr:row>
      <xdr:rowOff>88516</xdr:rowOff>
    </xdr:to>
    <xdr:sp macro="" textlink="">
      <xdr:nvSpPr>
        <xdr:cNvPr id="44" name="Rectangle: Rounded Corners 43">
          <a:extLst>
            <a:ext uri="{FF2B5EF4-FFF2-40B4-BE49-F238E27FC236}">
              <a16:creationId xmlns:a16="http://schemas.microsoft.com/office/drawing/2014/main" id="{3E7B6AF0-6DC6-6A6E-3C1E-E7D7EA3F709B}"/>
            </a:ext>
          </a:extLst>
        </xdr:cNvPr>
        <xdr:cNvSpPr/>
      </xdr:nvSpPr>
      <xdr:spPr>
        <a:xfrm>
          <a:off x="0" y="10100848"/>
          <a:ext cx="19061206" cy="375521"/>
        </a:xfrm>
        <a:prstGeom prst="roundRect">
          <a:avLst>
            <a:gd name="adj" fmla="val 18993"/>
          </a:avLst>
        </a:prstGeom>
        <a:solidFill>
          <a:schemeClr val="accent6">
            <a:lumMod val="20000"/>
            <a:lumOff val="80000"/>
          </a:schemeClr>
        </a:solidFill>
        <a:ln>
          <a:solidFill>
            <a:schemeClr val="accent6">
              <a:lumMod val="20000"/>
              <a:lumOff val="80000"/>
            </a:schemeClr>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b"/>
        <a:lstStyle/>
        <a:p>
          <a:pPr algn="l"/>
          <a:r>
            <a:rPr lang="en-US" sz="1100"/>
            <a:t>          </a:t>
          </a:r>
          <a:r>
            <a:rPr lang="en-US" sz="1100" b="1"/>
            <a:t>Created by </a:t>
          </a:r>
          <a:r>
            <a:rPr lang="en-US" sz="1100"/>
            <a:t>: C.S.Sruthi Mohan                                                                                               </a:t>
          </a:r>
          <a:r>
            <a:rPr lang="en-US" sz="1100" baseline="0"/>
            <a:t>          </a:t>
          </a:r>
          <a:r>
            <a:rPr lang="en-US" sz="1100"/>
            <a:t>        </a:t>
          </a:r>
          <a:r>
            <a:rPr lang="en-US" sz="1100" b="1"/>
            <a:t>Tools</a:t>
          </a:r>
          <a:r>
            <a:rPr lang="en-US" sz="1100"/>
            <a:t> : Excel</a:t>
          </a:r>
          <a:r>
            <a:rPr lang="en-US" sz="1100" baseline="0"/>
            <a:t> | VBA | Power Pivot | Power Query | DAX                                                                                                                                        </a:t>
          </a:r>
          <a:r>
            <a:rPr lang="en-US" sz="1100" b="1" baseline="0"/>
            <a:t>Date</a:t>
          </a:r>
          <a:r>
            <a:rPr lang="en-US" sz="1100" baseline="0"/>
            <a:t> : 03-Jul-2026</a:t>
          </a:r>
          <a:endParaRPr lang="en-US" sz="1100"/>
        </a:p>
      </xdr:txBody>
    </xdr:sp>
    <xdr:clientData/>
  </xdr:twoCellAnchor>
  <xdr:twoCellAnchor editAs="absolute">
    <xdr:from>
      <xdr:col>0</xdr:col>
      <xdr:colOff>129540</xdr:colOff>
      <xdr:row>54</xdr:row>
      <xdr:rowOff>121458</xdr:rowOff>
    </xdr:from>
    <xdr:to>
      <xdr:col>0</xdr:col>
      <xdr:colOff>411480</xdr:colOff>
      <xdr:row>56</xdr:row>
      <xdr:rowOff>37638</xdr:rowOff>
    </xdr:to>
    <xdr:pic>
      <xdr:nvPicPr>
        <xdr:cNvPr id="48" name="Graphic 47" descr="User with solid fill">
          <a:extLst>
            <a:ext uri="{FF2B5EF4-FFF2-40B4-BE49-F238E27FC236}">
              <a16:creationId xmlns:a16="http://schemas.microsoft.com/office/drawing/2014/main" id="{ED922990-F35B-F0D4-B3F3-E8D3F9DF962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9540" y="10420003"/>
          <a:ext cx="281940" cy="285635"/>
        </a:xfrm>
        <a:prstGeom prst="rect">
          <a:avLst/>
        </a:prstGeom>
      </xdr:spPr>
    </xdr:pic>
    <xdr:clientData/>
  </xdr:twoCellAnchor>
  <xdr:twoCellAnchor editAs="absolute">
    <xdr:from>
      <xdr:col>6</xdr:col>
      <xdr:colOff>541251</xdr:colOff>
      <xdr:row>54</xdr:row>
      <xdr:rowOff>133004</xdr:rowOff>
    </xdr:from>
    <xdr:to>
      <xdr:col>6</xdr:col>
      <xdr:colOff>838431</xdr:colOff>
      <xdr:row>56</xdr:row>
      <xdr:rowOff>64424</xdr:rowOff>
    </xdr:to>
    <xdr:pic>
      <xdr:nvPicPr>
        <xdr:cNvPr id="50" name="Graphic 49" descr="Single gear with solid fill">
          <a:extLst>
            <a:ext uri="{FF2B5EF4-FFF2-40B4-BE49-F238E27FC236}">
              <a16:creationId xmlns:a16="http://schemas.microsoft.com/office/drawing/2014/main" id="{8D0D1FED-2EF4-833A-21F1-522D3957785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378796" y="10431549"/>
          <a:ext cx="297180" cy="300875"/>
        </a:xfrm>
        <a:prstGeom prst="rect">
          <a:avLst/>
        </a:prstGeom>
      </xdr:spPr>
    </xdr:pic>
    <xdr:clientData/>
  </xdr:twoCellAnchor>
  <xdr:twoCellAnchor editAs="oneCell">
    <xdr:from>
      <xdr:col>14</xdr:col>
      <xdr:colOff>1028469</xdr:colOff>
      <xdr:row>54</xdr:row>
      <xdr:rowOff>138546</xdr:rowOff>
    </xdr:from>
    <xdr:to>
      <xdr:col>15</xdr:col>
      <xdr:colOff>190269</xdr:colOff>
      <xdr:row>56</xdr:row>
      <xdr:rowOff>60499</xdr:rowOff>
    </xdr:to>
    <xdr:pic>
      <xdr:nvPicPr>
        <xdr:cNvPr id="52" name="Graphic 51" descr="Daily calendar with solid fill">
          <a:extLst>
            <a:ext uri="{FF2B5EF4-FFF2-40B4-BE49-F238E27FC236}">
              <a16:creationId xmlns:a16="http://schemas.microsoft.com/office/drawing/2014/main" id="{518FCFB3-5BE6-E172-2D3C-F7C3F3F05D4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758651" y="10437091"/>
          <a:ext cx="350982" cy="291408"/>
        </a:xfrm>
        <a:prstGeom prst="rect">
          <a:avLst/>
        </a:prstGeom>
      </xdr:spPr>
    </xdr:pic>
    <xdr:clientData/>
  </xdr:twoCellAnchor>
  <xdr:twoCellAnchor>
    <xdr:from>
      <xdr:col>6</xdr:col>
      <xdr:colOff>45720</xdr:colOff>
      <xdr:row>37</xdr:row>
      <xdr:rowOff>83820</xdr:rowOff>
    </xdr:from>
    <xdr:to>
      <xdr:col>11</xdr:col>
      <xdr:colOff>236220</xdr:colOff>
      <xdr:row>53</xdr:row>
      <xdr:rowOff>7620</xdr:rowOff>
    </xdr:to>
    <xdr:graphicFrame macro="">
      <xdr:nvGraphicFramePr>
        <xdr:cNvPr id="36" name="Chart 35">
          <a:extLst>
            <a:ext uri="{FF2B5EF4-FFF2-40B4-BE49-F238E27FC236}">
              <a16:creationId xmlns:a16="http://schemas.microsoft.com/office/drawing/2014/main" id="{C49D79BD-014A-4F9F-B549-9DB120D36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1066800</xdr:colOff>
      <xdr:row>0</xdr:row>
      <xdr:rowOff>114300</xdr:rowOff>
    </xdr:from>
    <xdr:to>
      <xdr:col>12</xdr:col>
      <xdr:colOff>335280</xdr:colOff>
      <xdr:row>3</xdr:row>
      <xdr:rowOff>144780</xdr:rowOff>
    </xdr:to>
    <xdr:sp macro="" textlink="">
      <xdr:nvSpPr>
        <xdr:cNvPr id="2" name="Rectangle: Rounded Corners 1">
          <a:extLst>
            <a:ext uri="{FF2B5EF4-FFF2-40B4-BE49-F238E27FC236}">
              <a16:creationId xmlns:a16="http://schemas.microsoft.com/office/drawing/2014/main" id="{276341B3-3B18-8776-F458-87DCA701712F}"/>
            </a:ext>
          </a:extLst>
        </xdr:cNvPr>
        <xdr:cNvSpPr/>
      </xdr:nvSpPr>
      <xdr:spPr>
        <a:xfrm>
          <a:off x="1676400" y="114300"/>
          <a:ext cx="6758940" cy="594360"/>
        </a:xfrm>
        <a:prstGeom prst="roundRect">
          <a:avLst/>
        </a:prstGeom>
        <a:solidFill>
          <a:schemeClr val="accent6">
            <a:lumMod val="20000"/>
            <a:lumOff val="8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800"/>
            <a:t>    </a:t>
          </a:r>
          <a:r>
            <a:rPr lang="en-US" sz="1800" b="1"/>
            <a:t>Add New Transactions</a:t>
          </a:r>
        </a:p>
      </xdr:txBody>
    </xdr:sp>
    <xdr:clientData/>
  </xdr:twoCellAnchor>
  <xdr:twoCellAnchor>
    <xdr:from>
      <xdr:col>3</xdr:col>
      <xdr:colOff>106680</xdr:colOff>
      <xdr:row>17</xdr:row>
      <xdr:rowOff>0</xdr:rowOff>
    </xdr:from>
    <xdr:to>
      <xdr:col>8</xdr:col>
      <xdr:colOff>388620</xdr:colOff>
      <xdr:row>20</xdr:row>
      <xdr:rowOff>160020</xdr:rowOff>
    </xdr:to>
    <xdr:sp macro="[0]!AddTransaction" textlink="">
      <xdr:nvSpPr>
        <xdr:cNvPr id="3" name="Rectangle: Rounded Corners 2">
          <a:extLst>
            <a:ext uri="{FF2B5EF4-FFF2-40B4-BE49-F238E27FC236}">
              <a16:creationId xmlns:a16="http://schemas.microsoft.com/office/drawing/2014/main" id="{FEDACC66-20AE-19A4-122E-8D8F5D44048C}"/>
            </a:ext>
          </a:extLst>
        </xdr:cNvPr>
        <xdr:cNvSpPr/>
      </xdr:nvSpPr>
      <xdr:spPr>
        <a:xfrm>
          <a:off x="2720340" y="3482340"/>
          <a:ext cx="5989320" cy="70866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a:t>                      </a:t>
          </a:r>
          <a:r>
            <a:rPr lang="en-US" sz="1600"/>
            <a:t>+ Add Transaction </a:t>
          </a:r>
          <a:endParaRPr lang="en-US" sz="1100"/>
        </a:p>
      </xdr:txBody>
    </xdr:sp>
    <xdr:clientData fLocksWithSheet="0"/>
  </xdr:twoCellAnchor>
  <xdr:twoCellAnchor>
    <xdr:from>
      <xdr:col>13</xdr:col>
      <xdr:colOff>289560</xdr:colOff>
      <xdr:row>1</xdr:row>
      <xdr:rowOff>45720</xdr:rowOff>
    </xdr:from>
    <xdr:to>
      <xdr:col>15</xdr:col>
      <xdr:colOff>228600</xdr:colOff>
      <xdr:row>3</xdr:row>
      <xdr:rowOff>76200</xdr:rowOff>
    </xdr:to>
    <xdr:sp macro="" textlink="" fLocksText="0">
      <xdr:nvSpPr>
        <xdr:cNvPr id="4" name="Rectangle: Rounded Corners 3">
          <a:hlinkClick xmlns:r="http://schemas.openxmlformats.org/officeDocument/2006/relationships" r:id="rId1"/>
          <a:extLst>
            <a:ext uri="{FF2B5EF4-FFF2-40B4-BE49-F238E27FC236}">
              <a16:creationId xmlns:a16="http://schemas.microsoft.com/office/drawing/2014/main" id="{8648233A-E8E7-67AF-CF74-3A79582CF3E7}"/>
            </a:ext>
          </a:extLst>
        </xdr:cNvPr>
        <xdr:cNvSpPr/>
      </xdr:nvSpPr>
      <xdr:spPr>
        <a:xfrm>
          <a:off x="11658600" y="228600"/>
          <a:ext cx="1158240" cy="41148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Dashboard</a:t>
          </a:r>
          <a:endParaRPr lang="en-US" sz="1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563880</xdr:colOff>
      <xdr:row>0</xdr:row>
      <xdr:rowOff>106680</xdr:rowOff>
    </xdr:from>
    <xdr:to>
      <xdr:col>12</xdr:col>
      <xdr:colOff>38100</xdr:colOff>
      <xdr:row>2</xdr:row>
      <xdr:rowOff>144780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8D1BCF6-3697-1BD3-36C7-EB077C434E5B}"/>
            </a:ext>
          </a:extLst>
        </xdr:cNvPr>
        <xdr:cNvSpPr/>
      </xdr:nvSpPr>
      <xdr:spPr>
        <a:xfrm>
          <a:off x="9738360" y="106680"/>
          <a:ext cx="1303020" cy="403860"/>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Dashboard</a:t>
          </a:r>
          <a:endParaRPr lang="en-US" sz="2000"/>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4537034" backgroundQuery="1" createdVersion="8" refreshedVersion="8" minRefreshableVersion="3" recordCount="0" supportSubquery="1" supportAdvancedDrill="1" xr:uid="{C2903BFD-D02A-4A89-81DC-D2C077A230A2}">
  <cacheSource type="external" connectionId="4"/>
  <cacheFields count="2">
    <cacheField name="[tblTransactions].[Symbol].[Symbol]" caption="Symbol" numFmtId="0" hierarchy="17" level="1">
      <sharedItems count="6">
        <s v="ADANIPORTS"/>
        <s v="APOLLOHOSP"/>
        <s v="ASIANPAINT"/>
        <s v="HDFCBANK"/>
        <s v="INFY"/>
        <s v="TCS"/>
      </sharedItems>
    </cacheField>
    <cacheField name="[Measures].[2Stock Return %]" caption="2Stock Return %" numFmtId="0" hierarchy="48" level="32767"/>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2" memberValueDatatype="130" unbalanced="0">
      <fieldsUsage count="2">
        <fieldUsage x="-1"/>
        <fieldUsage x="0"/>
      </fieldsUsage>
    </cacheHierarchy>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oneField="1">
      <fieldsUsage count="1">
        <fieldUsage x="1"/>
      </fieldsUsage>
    </cacheHierarchy>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5694442" backgroundQuery="1" createdVersion="8" refreshedVersion="8" minRefreshableVersion="3" recordCount="0" supportSubquery="1" supportAdvancedDrill="1" xr:uid="{4A0875CF-85E6-4319-95F5-274F07D8AA56}">
  <cacheSource type="external" connectionId="4"/>
  <cacheFields count="2">
    <cacheField name="[tblTransactions].[Symbol].[Symbol]" caption="Symbol" numFmtId="0" hierarchy="17" level="1">
      <sharedItems count="6">
        <s v="ADANIPORTS"/>
        <s v="APOLLOHOSP"/>
        <s v="ASIANPAINT"/>
        <s v="HDFCBANK"/>
        <s v="INFY"/>
        <s v="TCS"/>
      </sharedItems>
    </cacheField>
    <cacheField name="[Measures].[2Stock Return %]" caption="2Stock Return %" numFmtId="0" hierarchy="48" level="32767"/>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2" memberValueDatatype="130" unbalanced="0">
      <fieldsUsage count="2">
        <fieldUsage x="-1"/>
        <fieldUsage x="0"/>
      </fieldsUsage>
    </cacheHierarchy>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oneField="1">
      <fieldsUsage count="1">
        <fieldUsage x="1"/>
      </fieldsUsage>
    </cacheHierarchy>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6388889" backgroundQuery="1" createdVersion="8" refreshedVersion="8" minRefreshableVersion="3" recordCount="0" supportSubquery="1" supportAdvancedDrill="1" xr:uid="{FCCB6D69-E997-4982-88FA-C086668D0E40}">
  <cacheSource type="external" connectionId="4"/>
  <cacheFields count="1">
    <cacheField name="[Measures].[Portfolio Valu]" caption="Portfolio Valu" numFmtId="0" hierarchy="41" level="32767"/>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oneField="1">
      <fieldsUsage count="1">
        <fieldUsage x="0"/>
      </fieldsUsage>
    </cacheHierarchy>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7083335" backgroundQuery="1" createdVersion="8" refreshedVersion="8" minRefreshableVersion="3" recordCount="0" supportSubquery="1" supportAdvancedDrill="1" xr:uid="{F1BF1D51-225B-45F6-ABF4-FF55405E82D9}">
  <cacheSource type="external" connectionId="4"/>
  <cacheFields count="1">
    <cacheField name="[Measures].[Total Invested]" caption="Total Invested" numFmtId="0" hierarchy="35" level="32767"/>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oneField="1">
      <fieldsUsage count="1">
        <fieldUsage x="0"/>
      </fieldsUsage>
    </cacheHierarchy>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7777774" backgroundQuery="1" createdVersion="8" refreshedVersion="8" minRefreshableVersion="3" recordCount="0" supportSubquery="1" supportAdvancedDrill="1" xr:uid="{D93CBC3D-107E-4F2C-A3F8-DCCCB098E92A}">
  <cacheSource type="external" connectionId="4"/>
  <cacheFields count="1">
    <cacheField name="[Measures].[2Total Gain/Loss]" caption="2Total Gain/Loss" numFmtId="0" hierarchy="42" level="32767"/>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oneField="1">
      <fieldsUsage count="1">
        <fieldUsage x="0"/>
      </fieldsUsage>
    </cacheHierarchy>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9861114" backgroundQuery="1" createdVersion="8" refreshedVersion="8" minRefreshableVersion="3" recordCount="0" supportSubquery="1" supportAdvancedDrill="1" xr:uid="{597510AC-23C4-4D94-A192-643C65FEBDEB}">
  <cacheSource type="external" connectionId="4"/>
  <cacheFields count="6">
    <cacheField name="[tblTransactions].[Date (Month)].[Date (Month)]" caption="Date (Month)" numFmtId="0" hierarchy="24" level="1">
      <sharedItems count="4">
        <s v="Feb"/>
        <s v="Mar"/>
        <s v="Apr"/>
        <s v="May"/>
      </sharedItems>
    </cacheField>
    <cacheField name="[tblTransactions].[Date].[Date]" caption="Date" numFmtId="0" hierarchy="16" level="1">
      <sharedItems containsSemiMixedTypes="0" containsNonDate="0" containsDate="1" containsString="0" minDate="2026-02-04T00:00:00" maxDate="2026-05-11T00:00:00" count="5">
        <d v="2026-02-04T00:00:00"/>
        <d v="2026-03-03T00:00:00"/>
        <d v="2026-03-14T00:00:00"/>
        <d v="2026-04-25T00:00:00"/>
        <d v="2026-05-10T00:00:00"/>
      </sharedItems>
    </cacheField>
    <cacheField name="[Measures].[Sum of Quantity]" caption="Sum of Quantity" numFmtId="0" hierarchy="28" level="32767"/>
    <cacheField name="[tblStocks].[Sector].[Sector]" caption="Sector" numFmtId="0" hierarchy="6" level="1">
      <sharedItems containsSemiMixedTypes="0" containsNonDate="0" containsString="0"/>
    </cacheField>
    <cacheField name="[tblStocks].[Symbol].[Symbol]" caption="Symbol" numFmtId="0" hierarchy="5"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fieldsUsage count="2">
        <fieldUsage x="-1"/>
        <fieldUsage x="4"/>
      </fieldsUsage>
    </cacheHierarchy>
    <cacheHierarchy uniqueName="[tblStocks].[Sector]" caption="Sector" attribute="1" defaultMemberUniqueName="[tblStocks].[Sector].[All]" allUniqueName="[tblStocks].[Sector].[All]" dimensionUniqueName="[tblStocks]" displayFolder="" count="2" memberValueDatatype="130" unbalanced="0">
      <fieldsUsage count="2">
        <fieldUsage x="-1"/>
        <fieldUsage x="3"/>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1"/>
      </fieldsUsage>
    </cacheHierarchy>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5"/>
      </fieldsUsage>
    </cacheHierarchy>
    <cacheHierarchy uniqueName="[tblTransactions].[Date (Month)]" caption="Date (Month)" attribute="1" defaultMemberUniqueName="[tblTransactions].[Date (Month)].[All]" allUniqueName="[tblTransactions].[Date (Month)].[All]" dimensionUniqueName="[tblTransactions]" displayFolder="" count="2" memberValueDatatype="130" unbalanced="0">
      <fieldsUsage count="2">
        <fieldUsage x="-1"/>
        <fieldUsage x="0"/>
      </fieldsUsage>
    </cacheHierarchy>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oneField="1">
      <fieldsUsage count="1">
        <fieldUsage x="2"/>
      </fieldsUsage>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81018515" backgroundQuery="1" createdVersion="8" refreshedVersion="8" minRefreshableVersion="3" recordCount="0" supportSubquery="1" supportAdvancedDrill="1" xr:uid="{0F80583A-BA31-4ADC-BEBF-CD53AB2FA9AF}">
  <cacheSource type="external" connectionId="4"/>
  <cacheFields count="6">
    <cacheField name="[tblTransactions].[Symbol].[Symbol]" caption="Symbol" numFmtId="0" hierarchy="17" level="1">
      <sharedItems count="5">
        <s v="ADANIPORTS"/>
        <s v="ASIANPAINT"/>
        <s v="HDFCBANK"/>
        <s v="INFY"/>
        <s v="TCS"/>
      </sharedItems>
    </cacheField>
    <cacheField name="[Measures].[Holdings]" caption="Holdings" numFmtId="0" hierarchy="32" level="32767"/>
    <cacheField name="[tblTransactions].[Date].[Date]" caption="Date" numFmtId="0" hierarchy="16" level="1">
      <sharedItems containsSemiMixedTypes="0" containsNonDate="0" containsString="0"/>
    </cacheField>
    <cacheField name="[tblStocks].[Sector].[Sector]" caption="Sector" numFmtId="0" hierarchy="6" level="1">
      <sharedItems containsSemiMixedTypes="0" containsNonDate="0" containsString="0"/>
    </cacheField>
    <cacheField name="[tblStocks].[Symbol].[Symbol]" caption="Symbol" numFmtId="0" hierarchy="5"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fieldsUsage count="2">
        <fieldUsage x="-1"/>
        <fieldUsage x="4"/>
      </fieldsUsage>
    </cacheHierarchy>
    <cacheHierarchy uniqueName="[tblStocks].[Sector]" caption="Sector" attribute="1" defaultMemberUniqueName="[tblStocks].[Sector].[All]" allUniqueName="[tblStocks].[Sector].[All]" dimensionUniqueName="[tblStocks]" displayFolder="" count="2" memberValueDatatype="130" unbalanced="0">
      <fieldsUsage count="2">
        <fieldUsage x="-1"/>
        <fieldUsage x="3"/>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2"/>
      </fieldsUsage>
    </cacheHierarchy>
    <cacheHierarchy uniqueName="[tblTransactions].[Symbol]" caption="Symbol" attribute="1" defaultMemberUniqueName="[tblTransactions].[Symbol].[All]" allUniqueName="[tblTransactions].[Symbol].[All]" dimensionUniqueName="[tblTransactions]" displayFolder="" count="2" memberValueDatatype="130" unbalanced="0">
      <fieldsUsage count="2">
        <fieldUsage x="-1"/>
        <fieldUsage x="0"/>
      </fieldsUsage>
    </cacheHierarchy>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5"/>
      </fieldsUsage>
    </cacheHierarchy>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oneField="1">
      <fieldsUsage count="1">
        <fieldUsage x="1"/>
      </fieldsUsage>
    </cacheHierarchy>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82060185" backgroundQuery="1" createdVersion="8" refreshedVersion="8" minRefreshableVersion="3" recordCount="0" supportSubquery="1" supportAdvancedDrill="1" xr:uid="{2D40D623-F4A3-4A82-B6A6-7E69B56A0C5E}">
  <cacheSource type="external" connectionId="4"/>
  <cacheFields count="7">
    <cacheField name="[Measures].[Holdings]" caption="Holdings" numFmtId="0" hierarchy="32" level="32767"/>
    <cacheField name="[Measures].[Total Transaction Value]" caption="Total Transaction Value" numFmtId="0" hierarchy="33" level="32767"/>
    <cacheField name="[Measures].[Stock Count]" caption="Stock Count" numFmtId="0" hierarchy="34" level="32767"/>
    <cacheField name="[tblTransactions].[Date].[Date]" caption="Date" numFmtId="0" hierarchy="16" level="1">
      <sharedItems containsSemiMixedTypes="0" containsNonDate="0" containsString="0"/>
    </cacheField>
    <cacheField name="[tblStocks].[Sector].[Sector]" caption="Sector" numFmtId="0" hierarchy="6" level="1">
      <sharedItems containsSemiMixedTypes="0" containsNonDate="0" containsString="0"/>
    </cacheField>
    <cacheField name="[tblStocks].[Symbol].[Symbol]" caption="Symbol" numFmtId="0" hierarchy="5"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fieldsUsage count="2">
        <fieldUsage x="-1"/>
        <fieldUsage x="5"/>
      </fieldsUsage>
    </cacheHierarchy>
    <cacheHierarchy uniqueName="[tblStocks].[Sector]" caption="Sector" attribute="1" defaultMemberUniqueName="[tblStocks].[Sector].[All]" allUniqueName="[tblStocks].[Sector].[All]" dimensionUniqueName="[tblStocks]" displayFolder="" count="2" memberValueDatatype="130" unbalanced="0">
      <fieldsUsage count="2">
        <fieldUsage x="-1"/>
        <fieldUsage x="4"/>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3"/>
      </fieldsUsage>
    </cacheHierarchy>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6"/>
      </fieldsUsage>
    </cacheHierarchy>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oneField="1">
      <fieldsUsage count="1">
        <fieldUsage x="0"/>
      </fieldsUsage>
    </cacheHierarchy>
    <cacheHierarchy uniqueName="[Measures].[Total Transaction Value]" caption="Total Transaction Value" measure="1" displayFolder="" measureGroup="tblTransactions" count="0" oneField="1">
      <fieldsUsage count="1">
        <fieldUsage x="1"/>
      </fieldsUsage>
    </cacheHierarchy>
    <cacheHierarchy uniqueName="[Measures].[Stock Count]" caption="Stock Count" measure="1" displayFolder="" measureGroup="tblTransactions" count="0" oneField="1">
      <fieldsUsage count="1">
        <fieldUsage x="2"/>
      </fieldsUsage>
    </cacheHierarchy>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83217593" backgroundQuery="1" createdVersion="8" refreshedVersion="8" minRefreshableVersion="3" recordCount="0" supportSubquery="1" supportAdvancedDrill="1" xr:uid="{0B127294-0D88-4E9A-850D-308DCB727C6F}">
  <cacheSource type="external" connectionId="4"/>
  <cacheFields count="6">
    <cacheField name="[tblTransactions].[Symbol].[Symbol]" caption="Symbol" numFmtId="0" hierarchy="17" level="1">
      <sharedItems count="5">
        <s v="ADANIPORTS"/>
        <s v="ASIANPAINT"/>
        <s v="HDFCBANK"/>
        <s v="INFY"/>
        <s v="TCS"/>
      </sharedItems>
    </cacheField>
    <cacheField name="[Measures].[Holdings]" caption="Holdings" numFmtId="0" hierarchy="32" level="32767"/>
    <cacheField name="[tblTransactions].[Date].[Date]" caption="Date" numFmtId="0" hierarchy="16" level="1">
      <sharedItems containsSemiMixedTypes="0" containsNonDate="0" containsString="0"/>
    </cacheField>
    <cacheField name="[tblStocks].[Sector].[Sector]" caption="Sector" numFmtId="0" hierarchy="6" level="1">
      <sharedItems containsSemiMixedTypes="0" containsNonDate="0" containsString="0"/>
    </cacheField>
    <cacheField name="[tblStocks].[Symbol].[Symbol]" caption="Symbol" numFmtId="0" hierarchy="5"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fieldsUsage count="2">
        <fieldUsage x="-1"/>
        <fieldUsage x="4"/>
      </fieldsUsage>
    </cacheHierarchy>
    <cacheHierarchy uniqueName="[tblStocks].[Sector]" caption="Sector" attribute="1" defaultMemberUniqueName="[tblStocks].[Sector].[All]" allUniqueName="[tblStocks].[Sector].[All]" dimensionUniqueName="[tblStocks]" displayFolder="" count="2" memberValueDatatype="130" unbalanced="0">
      <fieldsUsage count="2">
        <fieldUsage x="-1"/>
        <fieldUsage x="3"/>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2"/>
      </fieldsUsage>
    </cacheHierarchy>
    <cacheHierarchy uniqueName="[tblTransactions].[Symbol]" caption="Symbol" attribute="1" defaultMemberUniqueName="[tblTransactions].[Symbol].[All]" allUniqueName="[tblTransactions].[Symbol].[All]" dimensionUniqueName="[tblTransactions]" displayFolder="" count="2" memberValueDatatype="130" unbalanced="0">
      <fieldsUsage count="2">
        <fieldUsage x="-1"/>
        <fieldUsage x="0"/>
      </fieldsUsage>
    </cacheHierarchy>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5"/>
      </fieldsUsage>
    </cacheHierarchy>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oneField="1">
      <fieldsUsage count="1">
        <fieldUsage x="1"/>
      </fieldsUsage>
    </cacheHierarchy>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85069441" backgroundQuery="1" createdVersion="8" refreshedVersion="8" minRefreshableVersion="3" recordCount="0" supportSubquery="1" supportAdvancedDrill="1" xr:uid="{147FCDF6-59D9-4D76-8849-10E3B1354807}">
  <cacheSource type="external" connectionId="4"/>
  <cacheFields count="4">
    <cacheField name="[Measures].[Total Return %]" caption="Total Return %" numFmtId="0" hierarchy="43" level="32767"/>
    <cacheField name="[tblStocks].[Sector].[Sector]" caption="Sector" numFmtId="0" hierarchy="6" level="1">
      <sharedItems containsSemiMixedTypes="0" containsNonDate="0" containsString="0"/>
    </cacheField>
    <cacheField name="[tblTransactions].[Date].[Date]" caption="Date" numFmtId="0" hierarchy="16"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2" memberValueDatatype="130" unbalanced="0">
      <fieldsUsage count="2">
        <fieldUsage x="-1"/>
        <fieldUsage x="1"/>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2"/>
      </fieldsUsage>
    </cacheHierarchy>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3"/>
      </fieldsUsage>
    </cacheHierarchy>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oneField="1">
      <fieldsUsage count="1">
        <fieldUsage x="0"/>
      </fieldsUsage>
    </cacheHierarchy>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86111111" backgroundQuery="1" createdVersion="8" refreshedVersion="8" minRefreshableVersion="3" recordCount="0" supportSubquery="1" supportAdvancedDrill="1" xr:uid="{4A35F1AB-C633-48DC-93F9-FD92405461C2}">
  <cacheSource type="external" connectionId="4"/>
  <cacheFields count="7">
    <cacheField name="[tblTransactions].[Symbol].[Symbol]" caption="Symbol" numFmtId="0" hierarchy="17" level="1">
      <sharedItems count="5">
        <s v="ADANIPORTS"/>
        <s v="ASIANPAINT"/>
        <s v="HDFCBANK"/>
        <s v="INFY"/>
        <s v="TCS"/>
      </sharedItems>
    </cacheField>
    <cacheField name="[Measures].[Holdings]" caption="Holdings" numFmtId="0" hierarchy="32" level="32767"/>
    <cacheField name="[Measures].[Stock Count]" caption="Stock Count" numFmtId="0" hierarchy="34" level="32767"/>
    <cacheField name="[Measures].[Portfolio Weight %]" caption="Portfolio Weight %" numFmtId="0" hierarchy="38" level="32767"/>
    <cacheField name="[tblStocks].[Sector].[Sector]" caption="Sector" numFmtId="0" hierarchy="6" level="1">
      <sharedItems containsSemiMixedTypes="0" containsNonDate="0" containsString="0"/>
    </cacheField>
    <cacheField name="[tblTransactions].[Date].[Date]" caption="Date" numFmtId="0" hierarchy="16"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2" memberValueDatatype="130" unbalanced="0">
      <fieldsUsage count="2">
        <fieldUsage x="-1"/>
        <fieldUsage x="4"/>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5"/>
      </fieldsUsage>
    </cacheHierarchy>
    <cacheHierarchy uniqueName="[tblTransactions].[Symbol]" caption="Symbol" attribute="1" defaultMemberUniqueName="[tblTransactions].[Symbol].[All]" allUniqueName="[tblTransactions].[Symbol].[All]" dimensionUniqueName="[tblTransactions]" displayFolder="" count="2" memberValueDatatype="130" unbalanced="0">
      <fieldsUsage count="2">
        <fieldUsage x="-1"/>
        <fieldUsage x="0"/>
      </fieldsUsage>
    </cacheHierarchy>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6"/>
      </fieldsUsage>
    </cacheHierarchy>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oneField="1">
      <fieldsUsage count="1">
        <fieldUsage x="1"/>
      </fieldsUsage>
    </cacheHierarchy>
    <cacheHierarchy uniqueName="[Measures].[Total Transaction Value]" caption="Total Transaction Value" measure="1" displayFolder="" measureGroup="tblTransactions" count="0"/>
    <cacheHierarchy uniqueName="[Measures].[Stock Count]" caption="Stock Count" measure="1" displayFolder="" measureGroup="tblTransactions" count="0" oneField="1">
      <fieldsUsage count="1">
        <fieldUsage x="2"/>
      </fieldsUsage>
    </cacheHierarchy>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oneField="1">
      <fieldsUsage count="1">
        <fieldUsage x="3"/>
      </fieldsUsage>
    </cacheHierarchy>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87268519" backgroundQuery="1" createdVersion="8" refreshedVersion="8" minRefreshableVersion="3" recordCount="0" supportSubquery="1" supportAdvancedDrill="1" xr:uid="{3DB0BA41-E726-42C8-A5AF-E215DDCF9937}">
  <cacheSource type="external" connectionId="4"/>
  <cacheFields count="5">
    <cacheField name="[tblStocks].[Sector].[Sector]" caption="Sector" numFmtId="0" hierarchy="6" level="1">
      <sharedItems count="5">
        <s v="Consumer Staples"/>
        <s v="Financials"/>
        <s v="Industrials"/>
        <s v="Information Technology"/>
        <s v="Energy" u="1"/>
      </sharedItems>
    </cacheField>
    <cacheField name="[Measures].[Holdings]" caption="Holdings" numFmtId="0" hierarchy="32" level="32767"/>
    <cacheField name="[tblTransactions].[Date].[Date]" caption="Date" numFmtId="0" hierarchy="16" level="1">
      <sharedItems containsSemiMixedTypes="0" containsNonDate="0" containsString="0"/>
    </cacheField>
    <cacheField name="[tblStocks].[Symbol].[Symbol]" caption="Symbol" numFmtId="0" hierarchy="5" level="1">
      <sharedItems containsSemiMixedTypes="0" containsNonDate="0" containsString="0"/>
    </cacheField>
    <cacheField name="[tblTransactions].[Broker].[Broker]" caption="Broker" numFmtId="0" hierarchy="23" level="1">
      <sharedItems containsSemiMixedTypes="0" containsNonDate="0" containsString="0"/>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fieldsUsage count="2">
        <fieldUsage x="-1"/>
        <fieldUsage x="3"/>
      </fieldsUsage>
    </cacheHierarchy>
    <cacheHierarchy uniqueName="[tblStocks].[Sector]" caption="Sector" attribute="1" defaultMemberUniqueName="[tblStocks].[Sector].[All]" allUniqueName="[tblStocks].[Sector].[All]" dimensionUniqueName="[tblStocks]" displayFolder="" count="2" memberValueDatatype="130" unbalanced="0">
      <fieldsUsage count="2">
        <fieldUsage x="-1"/>
        <fieldUsage x="0"/>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2"/>
      </fieldsUsage>
    </cacheHierarchy>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fieldsUsage count="2">
        <fieldUsage x="-1"/>
        <fieldUsage x="4"/>
      </fieldsUsage>
    </cacheHierarchy>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oneField="1">
      <fieldsUsage count="1">
        <fieldUsage x="1"/>
      </fieldsUsage>
    </cacheHierarchy>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3572453706" backgroundQuery="1" createdVersion="8" refreshedVersion="8" minRefreshableVersion="3" recordCount="0" supportSubquery="1" supportAdvancedDrill="1" xr:uid="{1B4B9100-E5AE-4357-9D6A-4022AB8C5695}">
  <cacheSource type="external" connectionId="4"/>
  <cacheFields count="3">
    <cacheField name="[Measures].[2Monthly Investment]" caption="2Monthly Investment" numFmtId="0" hierarchy="50" level="32767"/>
    <cacheField name="[tblTransactions].[Date (Year)].[Date (Year)]" caption="Date (Year)" numFmtId="0" hierarchy="25" level="1">
      <sharedItems count="1">
        <s v="2026"/>
      </sharedItems>
    </cacheField>
    <cacheField name="[tblTransactions].[Date (Month)].[Date (Month)]" caption="Date (Month)" numFmtId="0" hierarchy="24" level="1">
      <sharedItems count="5">
        <s v="Jan"/>
        <s v="Feb"/>
        <s v="Mar"/>
        <s v="Apr"/>
        <s v="May"/>
      </sharedItems>
    </cacheField>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2" memberValueDatatype="130" unbalanced="0">
      <fieldsUsage count="2">
        <fieldUsage x="-1"/>
        <fieldUsage x="2"/>
      </fieldsUsage>
    </cacheHierarchy>
    <cacheHierarchy uniqueName="[tblTransactions].[Date (Year)]" caption="Date (Year)" attribute="1" defaultMemberUniqueName="[tblTransactions].[Date (Year)].[All]" allUniqueName="[tblTransactions].[Date (Year)].[All]" dimensionUniqueName="[tblTransactions]" displayFolder="" count="2" memberValueDatatype="130" unbalanced="0">
      <fieldsUsage count="2">
        <fieldUsage x="-1"/>
        <fieldUsage x="1"/>
      </fieldsUsage>
    </cacheHierarchy>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oneField="1">
      <fieldsUsage count="1">
        <fieldUsage x="0"/>
      </fieldsUsage>
    </cacheHierarchy>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42883796296" backgroundQuery="1" createdVersion="8" refreshedVersion="8" minRefreshableVersion="3" recordCount="0" supportSubquery="1" supportAdvancedDrill="1" xr:uid="{85398A0E-88E0-4A83-A5D4-30BF16F04CE4}">
  <cacheSource type="external" connectionId="4"/>
  <cacheFields count="7">
    <cacheField name="[tblTransactions].[Date (Year)].[Date (Year)]" caption="Date (Year)" numFmtId="0" hierarchy="25" level="1">
      <sharedItems count="1">
        <s v="2026"/>
      </sharedItems>
    </cacheField>
    <cacheField name="[tblTransactions].[Date (Month)].[Date (Month)]" caption="Date (Month)" numFmtId="0" hierarchy="24" level="1">
      <sharedItems count="4">
        <s v="Feb"/>
        <s v="Mar"/>
        <s v="Apr"/>
        <s v="May"/>
      </sharedItems>
    </cacheField>
    <cacheField name="[tblTransactions].[Date].[Date]" caption="Date" numFmtId="0" hierarchy="16" level="1">
      <sharedItems containsSemiMixedTypes="0" containsNonDate="0" containsDate="1" containsString="0" minDate="2026-02-05T00:00:00" maxDate="2026-07-03T00:00:00" count="8">
        <d v="2026-02-05T00:00:00"/>
        <d v="2026-02-07T00:00:00"/>
        <d v="2026-06-01T00:00:00"/>
        <d v="2026-06-03T00:00:00"/>
        <d v="2026-06-06T00:00:00"/>
        <d v="2026-06-10T00:00:00"/>
        <d v="2026-06-15T00:00:00"/>
        <d v="2026-07-02T00:00:00"/>
      </sharedItems>
    </cacheField>
    <cacheField name="[tblStocks].[Sector].[Sector]" caption="Sector" numFmtId="0" hierarchy="6" level="1">
      <sharedItems containsSemiMixedTypes="0" containsNonDate="0" containsString="0"/>
    </cacheField>
    <cacheField name="[tblStocks].[Symbol].[Symbol]" caption="Symbol" numFmtId="0" hierarchy="5" level="1">
      <sharedItems containsSemiMixedTypes="0" containsNonDate="0" containsString="0"/>
    </cacheField>
    <cacheField name="[Measures].[Buy Value]" caption="Buy Value" numFmtId="0" hierarchy="39" level="32767"/>
    <cacheField name="[Measures].[Sell Value]" caption="Sell Value" numFmtId="0" hierarchy="40" level="32767"/>
  </cacheFields>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fieldsUsage count="2">
        <fieldUsage x="-1"/>
        <fieldUsage x="4"/>
      </fieldsUsage>
    </cacheHierarchy>
    <cacheHierarchy uniqueName="[tblStocks].[Sector]" caption="Sector" attribute="1" defaultMemberUniqueName="[tblStocks].[Sector].[All]" allUniqueName="[tblStocks].[Sector].[All]" dimensionUniqueName="[tblStocks]" displayFolder="" count="2" memberValueDatatype="130" unbalanced="0">
      <fieldsUsage count="2">
        <fieldUsage x="-1"/>
        <fieldUsage x="3"/>
      </fieldsUsage>
    </cacheHierarchy>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fieldsUsage count="2">
        <fieldUsage x="-1"/>
        <fieldUsage x="2"/>
      </fieldsUsage>
    </cacheHierarchy>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cacheHierarchy uniqueName="[tblTransactions].[Date (Month)]" caption="Date (Month)" attribute="1" defaultMemberUniqueName="[tblTransactions].[Date (Month)].[All]" allUniqueName="[tblTransactions].[Date (Month)].[All]" dimensionUniqueName="[tblTransactions]" displayFolder="" count="2" memberValueDatatype="130" unbalanced="0">
      <fieldsUsage count="2">
        <fieldUsage x="-1"/>
        <fieldUsage x="1"/>
      </fieldsUsage>
    </cacheHierarchy>
    <cacheHierarchy uniqueName="[tblTransactions].[Date (Year)]" caption="Date (Year)" attribute="1" defaultMemberUniqueName="[tblTransactions].[Date (Year)].[All]" allUniqueName="[tblTransactions].[Date (Year)].[All]" dimensionUniqueName="[tblTransactions]" displayFolder="" count="2" memberValueDatatype="130" unbalanced="0">
      <fieldsUsage count="2">
        <fieldUsage x="-1"/>
        <fieldUsage x="0"/>
      </fieldsUsage>
    </cacheHierarchy>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oneField="1">
      <fieldsUsage count="1">
        <fieldUsage x="5"/>
      </fieldsUsage>
    </cacheHierarchy>
    <cacheHierarchy uniqueName="[Measures].[Sell Value]" caption="Sell Value" measure="1" displayFolder="" measureGroup="tblTransactions" count="0" oneField="1">
      <fieldsUsage count="1">
        <fieldUsage x="6"/>
      </fieldsUsage>
    </cacheHierarchy>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dimensions count="4">
    <dimension measure="1" name="Measures" uniqueName="[Measures]" caption="Measures"/>
    <dimension name="tblPrices" uniqueName="[tblPrices]" caption="tblPrices"/>
    <dimension name="tblStocks" uniqueName="[tblStocks]" caption="tblStocks"/>
    <dimension name="tblTransactions" uniqueName="[tblTransactions]" caption="tblTransactions"/>
  </dimensions>
  <measureGroups count="3">
    <measureGroup name="tblPrices" caption="tblPrices"/>
    <measureGroup name="tblStocks" caption="tblStocks"/>
    <measureGroup name="tblTransactions" caption="tblTransactions"/>
  </measureGroups>
  <maps count="5">
    <map measureGroup="0" dimension="1"/>
    <map measureGroup="0" dimension="2"/>
    <map measureGroup="1" dimension="2"/>
    <map measureGroup="2"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8472221" backgroundQuery="1" createdVersion="3" refreshedVersion="8" minRefreshableVersion="3" recordCount="0" supportSubquery="1" supportAdvancedDrill="1" xr:uid="{4083360B-134B-4E1C-A491-C15D833F49F2}">
  <cacheSource type="external" connectionId="4">
    <extLst>
      <ext xmlns:x14="http://schemas.microsoft.com/office/spreadsheetml/2009/9/main" uri="{F057638F-6D5F-4e77-A914-E7F072B9BCA8}">
        <x14:sourceConnection name="ThisWorkbookDataModel"/>
      </ext>
    </extLst>
  </cacheSource>
  <cacheFields count="0"/>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2" memberValueDatatype="130" unbalanced="0"/>
    <cacheHierarchy uniqueName="[tblStocks].[Sector]" caption="Sector" attribute="1" defaultMemberUniqueName="[tblStocks].[Sector].[All]" allUniqueName="[tblStocks].[Sector].[All]" dimensionUniqueName="[tblStocks]" displayFolder="" count="2"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0" memberValueDatatype="7" unbalanced="0"/>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2"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02281149"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06.632878819444" backgroundQuery="1" createdVersion="3" refreshedVersion="8" minRefreshableVersion="3" recordCount="0" supportSubquery="1" supportAdvancedDrill="1" xr:uid="{80722013-BC0E-41D9-B3A7-8C0750D29887}">
  <cacheSource type="external" connectionId="4">
    <extLst>
      <ext xmlns:x14="http://schemas.microsoft.com/office/spreadsheetml/2009/9/main" uri="{F057638F-6D5F-4e77-A914-E7F072B9BCA8}">
        <x14:sourceConnection name="ThisWorkbookDataModel"/>
      </ext>
    </extLst>
  </cacheSource>
  <cacheFields count="0"/>
  <cacheHierarchies count="55">
    <cacheHierarchy uniqueName="[tblPrices].[Symbol]" caption="Symbol" attribute="1" defaultMemberUniqueName="[tblPrices].[Symbol].[All]" allUniqueName="[tblPrices].[Symbol].[All]" dimensionUniqueName="[tblPrices]" displayFolder="" count="0" memberValueDatatype="130" unbalanced="0"/>
    <cacheHierarchy uniqueName="[tblPrices].[Current price]" caption="Current price" attribute="1" defaultMemberUniqueName="[tblPrices].[Current price].[All]" allUniqueName="[tblPrices].[Current price].[All]" dimensionUniqueName="[tblPrices]" displayFolder="" count="0" memberValueDatatype="5" unbalanced="0"/>
    <cacheHierarchy uniqueName="[tblPrices].[Last update]" caption="Last update" attribute="1" time="1" defaultMemberUniqueName="[tblPrices].[Last update].[All]" allUniqueName="[tblPrices].[Last update].[All]" dimensionUniqueName="[tblPrices]" displayFolder="" count="0" memberValueDatatype="7" unbalanced="0"/>
    <cacheHierarchy uniqueName="[tblStocks].[#]" caption="#" attribute="1" defaultMemberUniqueName="[tblStocks].[#].[All]" allUniqueName="[tblStocks].[#].[All]" dimensionUniqueName="[tblStocks]" displayFolder="" count="0" memberValueDatatype="20" unbalanced="0"/>
    <cacheHierarchy uniqueName="[tblStocks].[Company Name]" caption="Company Name" attribute="1" defaultMemberUniqueName="[tblStocks].[Company Name].[All]" allUniqueName="[tblStocks].[Company Name].[All]" dimensionUniqueName="[tblStocks]" displayFolder="" count="0" memberValueDatatype="130" unbalanced="0"/>
    <cacheHierarchy uniqueName="[tblStocks].[Symbol]" caption="Symbol" attribute="1" defaultMemberUniqueName="[tblStocks].[Symbol].[All]" allUniqueName="[tblStocks].[Symbol].[All]" dimensionUniqueName="[tblStocks]" displayFolder="" count="0" memberValueDatatype="130" unbalanced="0"/>
    <cacheHierarchy uniqueName="[tblStocks].[Sector]" caption="Sector" attribute="1" defaultMemberUniqueName="[tblStocks].[Sector].[All]" allUniqueName="[tblStocks].[Sector].[All]" dimensionUniqueName="[tblStocks]" displayFolder="" count="0" memberValueDatatype="130" unbalanced="0"/>
    <cacheHierarchy uniqueName="[tblStocks].[Industry]" caption="Industry" attribute="1" defaultMemberUniqueName="[tblStocks].[Industry].[All]" allUniqueName="[tblStocks].[Industry].[All]" dimensionUniqueName="[tblStocks]" displayFolder="" count="0" memberValueDatatype="130" unbalanced="0"/>
    <cacheHierarchy uniqueName="[tblStocks].[Exchange]" caption="Exchange" attribute="1" defaultMemberUniqueName="[tblStocks].[Exchange].[All]" allUniqueName="[tblStocks].[Exchange].[All]" dimensionUniqueName="[tblStocks]" displayFolder="" count="0" memberValueDatatype="130" unbalanced="0"/>
    <cacheHierarchy uniqueName="[tblStocks].[Holdings]" caption="Holdings" attribute="1" defaultMemberUniqueName="[tblStocks].[Holdings].[All]" allUniqueName="[tblStocks].[Holdings].[All]" dimensionUniqueName="[tblStocks]" displayFolder="" count="0" memberValueDatatype="20" unbalanced="0"/>
    <cacheHierarchy uniqueName="[tblStocks].[Current Price]" caption="Current Price" attribute="1" defaultMemberUniqueName="[tblStocks].[Current Price].[All]" allUniqueName="[tblStocks].[Current Price].[All]" dimensionUniqueName="[tblStocks]" displayFolder="" count="0" memberValueDatatype="5" unbalanced="0"/>
    <cacheHierarchy uniqueName="[tblStocks].[Market Value]" caption="Market Value" attribute="1" defaultMemberUniqueName="[tblStocks].[Market Value].[All]" allUniqueName="[tblStocks].[Market Value].[All]" dimensionUniqueName="[tblStocks]" displayFolder="" count="0" memberValueDatatype="5" unbalanced="0"/>
    <cacheHierarchy uniqueName="[tblStocks].[Avg Cost]" caption="Avg Cost" attribute="1" defaultMemberUniqueName="[tblStocks].[Avg Cost].[All]" allUniqueName="[tblStocks].[Avg Cost].[All]" dimensionUniqueName="[tblStocks]" displayFolder="" count="0" memberValueDatatype="5" unbalanced="0"/>
    <cacheHierarchy uniqueName="[tblStocks].[Gain/Loss]" caption="Gain/Loss" attribute="1" defaultMemberUniqueName="[tblStocks].[Gain/Loss].[All]" allUniqueName="[tblStocks].[Gain/Loss].[All]" dimensionUniqueName="[tblStocks]" displayFolder="" count="0" memberValueDatatype="5" unbalanced="0"/>
    <cacheHierarchy uniqueName="[tblStocks].[Return %]" caption="Return %" attribute="1" defaultMemberUniqueName="[tblStocks].[Return %].[All]" allUniqueName="[tblStocks].[Return %].[All]" dimensionUniqueName="[tblStocks]" displayFolder="" count="0" memberValueDatatype="5" unbalanced="0"/>
    <cacheHierarchy uniqueName="[tblTransactions].[Transaction ID]" caption="Transaction ID" attribute="1" defaultMemberUniqueName="[tblTransactions].[Transaction ID].[All]" allUniqueName="[tblTransactions].[Transaction ID].[All]" dimensionUniqueName="[tblTransactions]" displayFolder="" count="0" memberValueDatatype="130" unbalanced="0"/>
    <cacheHierarchy uniqueName="[tblTransactions].[Date]" caption="Date" attribute="1" time="1" defaultMemberUniqueName="[tblTransactions].[Date].[All]" allUniqueName="[tblTransactions].[Date].[All]" dimensionUniqueName="[tblTransactions]" displayFolder="" count="2" memberValueDatatype="7" unbalanced="0"/>
    <cacheHierarchy uniqueName="[tblTransactions].[Symbol]" caption="Symbol" attribute="1" defaultMemberUniqueName="[tblTransactions].[Symbol].[All]" allUniqueName="[tblTransactions].[Symbol].[All]" dimensionUniqueName="[tblTransactions]" displayFolder="" count="0" memberValueDatatype="130" unbalanced="0"/>
    <cacheHierarchy uniqueName="[tblTransactions].[Buy/Sell]" caption="Buy/Sell" attribute="1" defaultMemberUniqueName="[tblTransactions].[Buy/Sell].[All]" allUniqueName="[tblTransactions].[Buy/Sell].[All]" dimensionUniqueName="[tblTransactions]" displayFolder="" count="0" memberValueDatatype="130" unbalanced="0"/>
    <cacheHierarchy uniqueName="[tblTransactions].[Quantity]" caption="Quantity" attribute="1" defaultMemberUniqueName="[tblTransactions].[Quantity].[All]" allUniqueName="[tblTransactions].[Quantity].[All]" dimensionUniqueName="[tblTransactions]" displayFolder="" count="0" memberValueDatatype="20" unbalanced="0"/>
    <cacheHierarchy uniqueName="[tblTransactions].[Price/Share]" caption="Price/Share" attribute="1" defaultMemberUniqueName="[tblTransactions].[Price/Share].[All]" allUniqueName="[tblTransactions].[Price/Share].[All]" dimensionUniqueName="[tblTransactions]" displayFolder="" count="0" memberValueDatatype="20" unbalanced="0"/>
    <cacheHierarchy uniqueName="[tblTransactions].[Charges]" caption="Charges" attribute="1" defaultMemberUniqueName="[tblTransactions].[Charges].[All]" allUniqueName="[tblTransactions].[Charges].[All]" dimensionUniqueName="[tblTransactions]" displayFolder="" count="0" memberValueDatatype="20" unbalanced="0"/>
    <cacheHierarchy uniqueName="[tblTransactions].[Net Amount]" caption="Net Amount" attribute="1" defaultMemberUniqueName="[tblTransactions].[Net Amount].[All]" allUniqueName="[tblTransactions].[Net Amount].[All]" dimensionUniqueName="[tblTransactions]" displayFolder="" count="0" memberValueDatatype="20" unbalanced="0"/>
    <cacheHierarchy uniqueName="[tblTransactions].[Broker]" caption="Broker" attribute="1" defaultMemberUniqueName="[tblTransactions].[Broker].[All]" allUniqueName="[tblTransactions].[Broker].[All]" dimensionUniqueName="[tblTransactions]" displayFolder="" count="0" memberValueDatatype="130" unbalanced="0"/>
    <cacheHierarchy uniqueName="[tblTransactions].[Date (Month)]" caption="Date (Month)" attribute="1" defaultMemberUniqueName="[tblTransactions].[Date (Month)].[All]" allUniqueName="[tblTransactions].[Date (Month)].[All]" dimensionUniqueName="[tblTransactions]" displayFolder="" count="0" memberValueDatatype="130" unbalanced="0"/>
    <cacheHierarchy uniqueName="[tblTransactions].[Date (Year)]" caption="Date (Year)" attribute="1" defaultMemberUniqueName="[tblTransactions].[Date (Year)].[All]" allUniqueName="[tblTransactions].[Date (Year)].[All]" dimensionUniqueName="[tblTransactions]" displayFolder="" count="0" memberValueDatatype="130" unbalanced="0"/>
    <cacheHierarchy uniqueName="[tblTransactions].[Date (Month Index)]" caption="Date (Month Index)" attribute="1" defaultMemberUniqueName="[tblTransactions].[Date (Month Index)].[All]" allUniqueName="[tblTransactions].[Date (Month Index)].[All]" dimensionUniqueName="[tblTransactions]" displayFolder="" count="0" memberValueDatatype="20" unbalanced="0" hidden="1"/>
    <cacheHierarchy uniqueName="[Measures].[Sum of Net Amount]" caption="Sum of Net Amount" measure="1" displayFolder="" measureGroup="tblTransactions" count="0">
      <extLst>
        <ext xmlns:x15="http://schemas.microsoft.com/office/spreadsheetml/2010/11/main" uri="{B97F6D7D-B522-45F9-BDA1-12C45D357490}">
          <x15:cacheHierarchy aggregatedColumn="22"/>
        </ext>
      </extLst>
    </cacheHierarchy>
    <cacheHierarchy uniqueName="[Measures].[Sum of Quantity]" caption="Sum of Quantity" measure="1" displayFolder="" measureGroup="tblTransactions" count="0">
      <extLst>
        <ext xmlns:x15="http://schemas.microsoft.com/office/spreadsheetml/2010/11/main" uri="{B97F6D7D-B522-45F9-BDA1-12C45D357490}">
          <x15:cacheHierarchy aggregatedColumn="19"/>
        </ext>
      </extLst>
    </cacheHierarchy>
    <cacheHierarchy uniqueName="[Measures].[Sum of Return %]" caption="Sum of Return %" measure="1" displayFolder="" measureGroup="tblStocks" count="0">
      <extLst>
        <ext xmlns:x15="http://schemas.microsoft.com/office/spreadsheetml/2010/11/main" uri="{B97F6D7D-B522-45F9-BDA1-12C45D357490}">
          <x15:cacheHierarchy aggregatedColumn="14"/>
        </ext>
      </extLst>
    </cacheHierarchy>
    <cacheHierarchy uniqueName="[Measures].[Total Qty Bought]" caption="Total Qty Bought" measure="1" displayFolder="" measureGroup="tblTransactions" count="0"/>
    <cacheHierarchy uniqueName="[Measures].[Total Qty Sold]" caption="Total Qty Sold" measure="1" displayFolder="" measureGroup="tblTransactions" count="0"/>
    <cacheHierarchy uniqueName="[Measures].[Holdings]" caption="Holdings" measure="1" displayFolder="" measureGroup="tblTransactions" count="0"/>
    <cacheHierarchy uniqueName="[Measures].[Total Transaction Value]" caption="Total Transaction Value" measure="1" displayFolder="" measureGroup="tblTransactions" count="0"/>
    <cacheHierarchy uniqueName="[Measures].[Stock Count]" caption="Stock Count" measure="1" displayFolder="" measureGroup="tblTransactions" count="0"/>
    <cacheHierarchy uniqueName="[Measures].[Total Invested]" caption="Total Invested" measure="1" displayFolder="" measureGroup="tblTransactions" count="0"/>
    <cacheHierarchy uniqueName="[Measures].[Total Sell Value]" caption="Total Sell Value" measure="1" displayFolder="" measureGroup="tblTransactions" count="0"/>
    <cacheHierarchy uniqueName="[Measures].[Net Investment]" caption="Net Investment" measure="1" displayFolder="" measureGroup="tblTransactions" count="0"/>
    <cacheHierarchy uniqueName="[Measures].[Portfolio Weight %]" caption="Portfolio Weight %" measure="1" displayFolder="" measureGroup="tblTransactions" count="0"/>
    <cacheHierarchy uniqueName="[Measures].[Buy Value]" caption="Buy Value" measure="1" displayFolder="" measureGroup="tblTransactions" count="0"/>
    <cacheHierarchy uniqueName="[Measures].[Sell Value]" caption="Sell Value" measure="1" displayFolder="" measureGroup="tblTransactions" count="0"/>
    <cacheHierarchy uniqueName="[Measures].[Portfolio Valu]" caption="Portfolio Valu" measure="1" displayFolder="" measureGroup="tblStocks" count="0"/>
    <cacheHierarchy uniqueName="[Measures].[2Total Gain/Loss]" caption="2Total Gain/Loss" measure="1" displayFolder="" measureGroup="tblStocks" count="0"/>
    <cacheHierarchy uniqueName="[Measures].[Total Return %]" caption="Total Return %" measure="1" displayFolder="" measureGroup="tblTransactions" count="0"/>
    <cacheHierarchy uniqueName="[Measures].[Stock Return %]" caption="Stock Return %" measure="1" displayFolder="" measureGroup="tblStocks" count="0"/>
    <cacheHierarchy uniqueName="[Measures].[2Market Value]" caption="2Market Value" measure="1" displayFolder="" measureGroup="tblTransactions" count="0"/>
    <cacheHierarchy uniqueName="[Measures].[2Avg Cost]" caption="2Avg Cost" measure="1" displayFolder="" measureGroup="tblTransactions" count="0"/>
    <cacheHierarchy uniqueName="[Measures].[2Gain/Loss]" caption="2Gain/Loss" measure="1" displayFolder="" measureGroup="tblTransactions" count="0"/>
    <cacheHierarchy uniqueName="[Measures].[2Stock Return %]" caption="2Stock Return %" measure="1" displayFolder="" measureGroup="tblTransactions" count="0"/>
    <cacheHierarchy uniqueName="[Measures].[2Portfolio Value]" caption="2Portfolio Value" measure="1" displayFolder="" measureGroup="tblTransactions" count="0"/>
    <cacheHierarchy uniqueName="[Measures].[2Monthly Investment]" caption="2Monthly Investment" measure="1" displayFolder="" measureGroup="tblTransactions" count="0"/>
    <cacheHierarchy uniqueName="[Measures].[__XL_Count tblTransactions]" caption="__XL_Count tblTransactions" measure="1" displayFolder="" measureGroup="tblTransactions" count="0" hidden="1"/>
    <cacheHierarchy uniqueName="[Measures].[__XL_Count tblStocks]" caption="__XL_Count tblStocks" measure="1" displayFolder="" measureGroup="tblStocks" count="0" hidden="1"/>
    <cacheHierarchy uniqueName="[Measures].[__XL_Count tblPrices]" caption="__XL_Count tblPrices" measure="1" displayFolder="" measureGroup="tblPric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16507408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F0B829-3EC4-4386-91EA-AF31E9B5CF73}" name="PivotTable22" cacheId="10" applyNumberFormats="0" applyBorderFormats="0" applyFontFormats="0" applyPatternFormats="0" applyAlignmentFormats="0" applyWidthHeightFormats="1" dataCaption="Values" tag="fb53aeed-39c9-417b-84a5-9bee0168f736" updatedVersion="8" minRefreshableVersion="5" useAutoFormatting="1" subtotalHiddenItems="1" itemPrintTitles="1" createdVersion="8" indent="0" outline="1" outlineData="1" multipleFieldFilters="0">
  <location ref="AI6:AL12" firstHeaderRow="0" firstDataRow="1" firstDataCol="1"/>
  <pivotFields count="7">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1"/>
    </i>
    <i>
      <x v="3"/>
    </i>
    <i>
      <x v="2"/>
    </i>
    <i>
      <x/>
    </i>
    <i>
      <x v="4"/>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numFmtId="9"/>
  </dataFields>
  <formats count="13">
    <format dxfId="23">
      <pivotArea outline="0" collapsedLevelsAreSubtotals="1" fieldPosition="0">
        <references count="1">
          <reference field="4294967294" count="1" selected="0">
            <x v="2"/>
          </reference>
        </references>
      </pivotArea>
    </format>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fieldPosition="0">
        <references count="1">
          <reference field="0" count="0"/>
        </references>
      </pivotArea>
    </format>
    <format dxfId="18">
      <pivotArea dataOnly="0" labelOnly="1" grandRow="1" outline="0" fieldPosition="0"/>
    </format>
    <format dxfId="17">
      <pivotArea dataOnly="0" labelOnly="1" outline="0" fieldPosition="0">
        <references count="1">
          <reference field="4294967294" count="3">
            <x v="0"/>
            <x v="1"/>
            <x v="2"/>
          </reference>
        </references>
      </pivotArea>
    </format>
    <format dxfId="16">
      <pivotArea type="all" dataOnly="0" outline="0" fieldPosition="0"/>
    </format>
    <format dxfId="15">
      <pivotArea outline="0" collapsedLevelsAreSubtotals="1" fieldPosition="0"/>
    </format>
    <format dxfId="14">
      <pivotArea field="0" type="button" dataOnly="0" labelOnly="1" outline="0" axis="axisRow" fieldPosition="0"/>
    </format>
    <format dxfId="13">
      <pivotArea dataOnly="0" labelOnly="1" fieldPosition="0">
        <references count="1">
          <reference field="0" count="0"/>
        </references>
      </pivotArea>
    </format>
    <format dxfId="12">
      <pivotArea dataOnly="0" labelOnly="1" grandRow="1" outline="0" fieldPosition="0"/>
    </format>
    <format dxfId="11">
      <pivotArea dataOnly="0" labelOnly="1" outline="0" fieldPosition="0">
        <references count="1">
          <reference field="4294967294" count="3">
            <x v="0"/>
            <x v="1"/>
            <x v="2"/>
          </reference>
        </references>
      </pivotArea>
    </format>
  </formats>
  <conditionalFormats count="1">
    <conditionalFormat priority="1">
      <pivotAreas count="1">
        <pivotArea type="data" collapsedLevelsAreSubtotals="1" fieldPosition="0">
          <references count="2">
            <reference field="4294967294" count="1" selected="0">
              <x v="2"/>
            </reference>
            <reference field="0" count="4">
              <x v="0"/>
              <x v="2"/>
              <x v="3"/>
              <x v="4"/>
            </reference>
          </references>
        </pivotArea>
      </pivotAreas>
    </conditionalFormat>
  </conditionalFormats>
  <pivotHierarchies count="55">
    <pivotHierarchy dragToData="1"/>
    <pivotHierarchy dragToData="1"/>
    <pivotHierarchy dragToData="1"/>
    <pivotHierarchy dragToData="1"/>
    <pivotHierarchy dragToData="1"/>
    <pivotHierarchy dragToData="1"/>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1" showRowHeaders="1" showColHeaders="1" showRowStripes="0" showColStripes="0" showLastColumn="1"/>
  <filters count="1">
    <filter fld="5" type="dateBetween" evalOrder="-1" id="36"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activeTabTopLevelEntity name="[tblStoc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D2B042-4115-43E3-BB32-C9D141C30F0A}" name="PivotTable6" cacheId="4" applyNumberFormats="0" applyBorderFormats="0" applyFontFormats="0" applyPatternFormats="0" applyAlignmentFormats="0" applyWidthHeightFormats="1" dataCaption="Values" tag="26560bcd-2c72-4f70-9673-b35c39774233" updatedVersion="8" minRefreshableVersion="3" itemPrintTitles="1" createdVersion="8" indent="0" outline="1" outlineData="1" multipleFieldFilters="0">
  <location ref="AM4:AM5"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toc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DF09AB-A30F-42D1-8E6F-DA9786B9BADE}" name="PivotTable17" cacheId="12" applyNumberFormats="0" applyBorderFormats="0" applyFontFormats="0" applyPatternFormats="0" applyAlignmentFormats="0" applyWidthHeightFormats="1" dataCaption="Values" tag="8146b6d8-6079-49f8-bb3f-9f1656e32b85" updatedVersion="8" minRefreshableVersion="3" useAutoFormatting="1" itemPrintTitles="1" createdVersion="8" indent="0" outline="1" outlineData="1" multipleFieldFilters="0" chartFormat="6">
  <location ref="AB4:AC11" firstHeaderRow="1" firstDataRow="1" firstDataCol="1"/>
  <pivotFields count="3">
    <pivotField dataField="1" subtotalTop="0" showAll="0" defaultSubtotal="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5">
        <item x="0"/>
        <item x="1"/>
        <item x="2"/>
        <item x="3"/>
        <item x="4"/>
      </items>
    </pivotField>
  </pivotFields>
  <rowFields count="2">
    <field x="1"/>
    <field x="2"/>
  </rowFields>
  <rowItems count="7">
    <i>
      <x/>
    </i>
    <i r="1">
      <x/>
    </i>
    <i r="1">
      <x v="1"/>
    </i>
    <i r="1">
      <x v="2"/>
    </i>
    <i r="1">
      <x v="3"/>
    </i>
    <i r="1">
      <x v="4"/>
    </i>
    <i t="grand">
      <x/>
    </i>
  </rowItems>
  <colItems count="1">
    <i/>
  </colItems>
  <dataFields count="1">
    <dataField fld="0"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25"/>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9D0DB8E-4893-4278-B5F5-1D3FE70B3944}" name="PivotTable10" cacheId="0" applyNumberFormats="0" applyBorderFormats="0" applyFontFormats="0" applyPatternFormats="0" applyAlignmentFormats="0" applyWidthHeightFormats="1" dataCaption="Values" tag="cc8206c1-c3af-4d53-82b4-8312d9d2c231" updatedVersion="8" minRefreshableVersion="3" useAutoFormatting="1" itemPrintTitles="1" createdVersion="8" indent="0" outline="1" outlineData="1" multipleFieldFilters="0">
  <location ref="Y4:Z11" firstHeaderRow="1" firstDataRow="1" firstDataCol="1"/>
  <pivotFields count="2">
    <pivotField axis="axisRow" allDrilled="1"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7">
    <i>
      <x v="1"/>
    </i>
    <i>
      <x v="5"/>
    </i>
    <i>
      <x v="2"/>
    </i>
    <i>
      <x v="4"/>
    </i>
    <i>
      <x v="3"/>
    </i>
    <i>
      <x/>
    </i>
    <i t="grand">
      <x/>
    </i>
  </rowItems>
  <colItems count="1">
    <i/>
  </colItems>
  <dataFields count="1">
    <dataField fld="1" subtotal="count"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4AE28A-3274-4587-BD82-9C823384B464}" name="PivotTable21" cacheId="9" applyNumberFormats="0" applyBorderFormats="0" applyFontFormats="0" applyPatternFormats="0" applyAlignmentFormats="0" applyWidthHeightFormats="1" dataCaption="Values" tag="a125e1c4-6794-4bf5-94d4-834579d90c57" updatedVersion="8" minRefreshableVersion="5" subtotalHiddenItems="1" itemPrintTitles="1" createdVersion="8" indent="0" outline="1" outlineData="1" multipleFieldFilters="0">
  <location ref="H4:H5"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dataFields>
  <pivotHierarchies count="55">
    <pivotHierarchy dragToData="1"/>
    <pivotHierarchy dragToData="1"/>
    <pivotHierarchy dragToData="1"/>
    <pivotHierarchy dragToData="1"/>
    <pivotHierarchy dragToData="1"/>
    <pivotHierarchy dragToData="1"/>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dateBetween" evalOrder="-1" id="36"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57BD1CD-4F24-4540-8CEF-E1E7258C6C8A}" name="PivotTable15" cacheId="7" applyNumberFormats="0" applyBorderFormats="0" applyFontFormats="0" applyPatternFormats="0" applyAlignmentFormats="0" applyWidthHeightFormats="1" dataCaption="Values" tag="05e92ad0-b81a-4b3e-8e22-5ff8ca63e0cd" updatedVersion="8" minRefreshableVersion="5" useAutoFormatting="1" subtotalHiddenItems="1" itemPrintTitles="1" createdVersion="8" indent="0" outline="1" outlineData="1" multipleFieldFilters="0">
  <location ref="O3:Q4" firstHeaderRow="0" firstDataRow="1" firstDataCol="0"/>
  <pivotFields count="7">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5">
    <pivotHierarchy dragToData="1"/>
    <pivotHierarchy dragToData="1"/>
    <pivotHierarchy dragToData="1"/>
    <pivotHierarchy dragToData="1"/>
    <pivotHierarchy dragToData="1"/>
    <pivotHierarchy multipleItemSelectionAllowed="1" dragToData="1">
      <members count="6" level="1">
        <member name="[tblStocks].[Symbol].&amp;[ADANIENT]"/>
        <member name="[tblStocks].[Symbol].&amp;[ADANIPORTS]"/>
        <member name="[tblStocks].[Symbol].&amp;[ASIANPAINT]"/>
        <member name="[tblStocks].[Symbol].&amp;[HDFCBANK]"/>
        <member name="[tblStocks].[Symbol].&amp;[INFY]"/>
        <member name="[tblStocks].[Symbol].&amp;[TCS]"/>
      </members>
    </pivotHierarchy>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3" type="dateBetween" evalOrder="-1" id="41"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1E04519-1058-4E61-9016-428A3B9B0D5E}" name="PivotTable9" cacheId="1" applyNumberFormats="0" applyBorderFormats="0" applyFontFormats="0" applyPatternFormats="0" applyAlignmentFormats="0" applyWidthHeightFormats="1" dataCaption="Values" tag="5e8e7159-c5bc-4325-8e11-623bf1f9142f" updatedVersion="8" minRefreshableVersion="3" useAutoFormatting="1" itemPrintTitles="1" createdVersion="8" indent="0" outline="1" outlineData="1" multipleFieldFilters="0">
  <location ref="V4:W11" firstHeaderRow="1" firstDataRow="1" firstDataCol="1"/>
  <pivotFields count="2">
    <pivotField axis="axisRow" allDrilled="1" subtotalTop="0" showAll="0" dataSourceSort="1" defaultSubtotal="0" defaultAttributeDrillState="1">
      <items count="6">
        <item x="0"/>
        <item x="1"/>
        <item x="2"/>
        <item x="3"/>
        <item x="4"/>
        <item x="5"/>
      </items>
    </pivotField>
    <pivotField dataField="1" subtotalTop="0" showAll="0" defaultSubtotal="0"/>
  </pivotFields>
  <rowFields count="1">
    <field x="0"/>
  </rowFields>
  <rowItems count="7">
    <i>
      <x/>
    </i>
    <i>
      <x v="1"/>
    </i>
    <i>
      <x v="2"/>
    </i>
    <i>
      <x v="3"/>
    </i>
    <i>
      <x v="4"/>
    </i>
    <i>
      <x v="5"/>
    </i>
    <i t="grand">
      <x/>
    </i>
  </rowItems>
  <colItems count="1">
    <i/>
  </colItems>
  <dataFields count="1">
    <dataField fld="1" subtotal="count"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066FA5-962F-416A-97AC-B5B77BF542D2}" name="PivotTable14" cacheId="6" applyNumberFormats="0" applyBorderFormats="0" applyFontFormats="0" applyPatternFormats="0" applyAlignmentFormats="0" applyWidthHeightFormats="1" dataCaption="Values" tag="4667aa94-2c36-429c-8bd0-c954007dfece" updatedVersion="8" minRefreshableVersion="5" subtotalHiddenItems="1" itemPrintTitles="1" createdVersion="8" indent="0" outline="1" outlineData="1" multipleFieldFilters="0">
  <location ref="E3:F9" firstHeaderRow="1" firstDataRow="1" firstDataCol="1"/>
  <pivotFields count="6">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1"/>
    </i>
    <i>
      <x v="3"/>
    </i>
    <i>
      <x v="2"/>
    </i>
    <i>
      <x/>
    </i>
    <i>
      <x v="4"/>
    </i>
    <i t="grand">
      <x/>
    </i>
  </rowItems>
  <colItems count="1">
    <i/>
  </colItems>
  <dataFields count="1">
    <dataField fld="1" subtotal="count" baseField="0" baseItem="0"/>
  </dataFields>
  <chartFormats count="1">
    <chartFormat chart="0" format="1" series="1">
      <pivotArea type="data" outline="0" fieldPosition="0">
        <references count="1">
          <reference field="4294967294" count="1" selected="0">
            <x v="0"/>
          </reference>
        </references>
      </pivotArea>
    </chartFormat>
  </chartFormats>
  <pivotHierarchies count="55">
    <pivotHierarchy dragToData="1"/>
    <pivotHierarchy dragToData="1"/>
    <pivotHierarchy dragToData="1"/>
    <pivotHierarchy dragToData="1"/>
    <pivotHierarchy dragToData="1"/>
    <pivotHierarchy multipleItemSelectionAllowed="1" dragToData="1">
      <members count="6" level="1">
        <member name="[tblStocks].[Symbol].&amp;[ADANIENT]"/>
        <member name="[tblStocks].[Symbol].&amp;[ADANIPORTS]"/>
        <member name="[tblStocks].[Symbol].&amp;[ASIANPAINT]"/>
        <member name="[tblStocks].[Symbol].&amp;[HDFCBANK]"/>
        <member name="[tblStocks].[Symbol].&amp;[INFY]"/>
        <member name="[tblStocks].[Symbol].&amp;[TCS]"/>
      </members>
    </pivotHierarchy>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dateBetween" evalOrder="-1" id="41"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178C6CC-4D2C-4B1B-849C-07D3B5811BDF}" name="PivotTable13" cacheId="5" applyNumberFormats="0" applyBorderFormats="0" applyFontFormats="0" applyPatternFormats="0" applyAlignmentFormats="0" applyWidthHeightFormats="1" dataCaption="Values" tag="55fe0efc-53ff-4b93-a431-b870ddf617da" updatedVersion="8" minRefreshableVersion="5" useAutoFormatting="1" subtotalHiddenItems="1" itemPrintTitles="1" createdVersion="8" indent="0" outline="1" outlineData="1" multipleFieldFilters="0" chartFormat="2">
  <location ref="L3:M13" firstHeaderRow="1" firstDataRow="1" firstDataCol="1"/>
  <pivotFields count="6">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10">
    <i>
      <x/>
    </i>
    <i r="1">
      <x/>
    </i>
    <i>
      <x v="1"/>
    </i>
    <i r="1">
      <x v="1"/>
    </i>
    <i r="1">
      <x v="2"/>
    </i>
    <i>
      <x v="2"/>
    </i>
    <i r="1">
      <x v="3"/>
    </i>
    <i>
      <x v="3"/>
    </i>
    <i r="1">
      <x v="4"/>
    </i>
    <i t="grand">
      <x/>
    </i>
  </rowItems>
  <colItems count="1">
    <i/>
  </colItems>
  <dataFields count="1">
    <dataField name="Sum of Quantity" fld="2" baseField="0" baseItem="0"/>
  </dataFields>
  <chartFormats count="1">
    <chartFormat chart="8" format="3" series="1">
      <pivotArea type="data" outline="0" fieldPosition="0">
        <references count="1">
          <reference field="4294967294" count="1" selected="0">
            <x v="0"/>
          </reference>
        </references>
      </pivotArea>
    </chartFormat>
  </chartFormats>
  <pivotHierarchies count="55">
    <pivotHierarchy dragToData="1"/>
    <pivotHierarchy dragToData="1"/>
    <pivotHierarchy dragToData="1"/>
    <pivotHierarchy dragToData="1"/>
    <pivotHierarchy dragToData="1"/>
    <pivotHierarchy multipleItemSelectionAllowed="1" dragToData="1">
      <members count="6" level="1">
        <member name="[tblStocks].[Symbol].&amp;[ADANIENT]"/>
        <member name="[tblStocks].[Symbol].&amp;[ADANIPORTS]"/>
        <member name="[tblStocks].[Symbol].&amp;[ASIANPAINT]"/>
        <member name="[tblStocks].[Symbol].&amp;[HDFCBANK]"/>
        <member name="[tblStocks].[Symbol].&amp;[INFY]"/>
        <member name="[tblStocks].[Symbol].&amp;[TCS]"/>
      </members>
    </pivotHierarchy>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dateBetween" evalOrder="-1" id="41"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rowHierarchiesUsage count="2">
    <rowHierarchyUsage hierarchyUsage="24"/>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activeTabTopLevelEntity name="[tblStoc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4BAC2A0-B7C6-4C85-B758-9C9D989126A6}" name="PivotTable20" cacheId="13" applyNumberFormats="0" applyBorderFormats="0" applyFontFormats="0" applyPatternFormats="0" applyAlignmentFormats="0" applyWidthHeightFormats="1" dataCaption="Values" tag="44a57c67-e7eb-43a4-abae-fb4090646b49" updatedVersion="8" minRefreshableVersion="5" useAutoFormatting="1" subtotalHiddenItems="1" itemPrintTitles="1" createdVersion="8" indent="0" outline="1" outlineData="1" multipleFieldFilters="0">
  <location ref="AE4:AG10" firstHeaderRow="0" firstDataRow="1" firstDataCol="1"/>
  <pivotFields count="7">
    <pivotField axis="axisRow" allDrilled="1" subtotalTop="0" showAll="0" dataSourceSort="1" defaultSubtotal="0" defaultAttributeDrillState="1">
      <items count="1">
        <item x="0"/>
      </items>
    </pivotField>
    <pivotField axis="axisRow" allDrilled="1" subtotalTop="0" showAll="0" sortType="descending" defaultSubtotal="0">
      <items count="4">
        <item x="0" e="0"/>
        <item x="1" e="0"/>
        <item x="2" e="0"/>
        <item x="3" e="0"/>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 allDrilled="1" subtotalTop="0" showAll="0" dataSourceSort="1" defaultSubtotal="0" defaultAttributeDrillState="1"/>
    <pivotField dataField="1" subtotalTop="0" showAll="0" defaultSubtotal="0"/>
    <pivotField dataField="1" subtotalTop="0" showAll="0" defaultSubtotal="0"/>
  </pivotFields>
  <rowFields count="3">
    <field x="0"/>
    <field x="1"/>
    <field x="2"/>
  </rowFields>
  <rowItems count="6">
    <i>
      <x/>
    </i>
    <i r="1">
      <x v="1"/>
    </i>
    <i r="1">
      <x/>
    </i>
    <i r="1">
      <x v="2"/>
    </i>
    <i r="1">
      <x v="3"/>
    </i>
    <i t="grand">
      <x/>
    </i>
  </rowItems>
  <colFields count="1">
    <field x="-2"/>
  </colFields>
  <colItems count="2">
    <i>
      <x/>
    </i>
    <i i="1">
      <x v="1"/>
    </i>
  </colItems>
  <dataFields count="2">
    <dataField fld="5" subtotal="count" baseField="0" baseItem="0"/>
    <dataField fld="6" subtotal="count" baseField="0" baseItem="0"/>
  </dataFields>
  <chartFormats count="2">
    <chartFormat chart="4" format="9" series="1">
      <pivotArea type="data" outline="0" fieldPosition="0">
        <references count="1">
          <reference field="4294967294" count="1" selected="0">
            <x v="0"/>
          </reference>
        </references>
      </pivotArea>
    </chartFormat>
    <chartFormat chart="4" format="10" series="1">
      <pivotArea type="data" outline="0" fieldPosition="0">
        <references count="1">
          <reference field="4294967294" count="1" selected="0">
            <x v="1"/>
          </reference>
        </references>
      </pivotArea>
    </chartFormat>
  </chartFormats>
  <pivotHierarchies count="55">
    <pivotHierarchy dragToData="1"/>
    <pivotHierarchy dragToData="1"/>
    <pivotHierarchy dragToData="1"/>
    <pivotHierarchy dragToData="1"/>
    <pivotHierarchy dragToData="1"/>
    <pivotHierarchy multipleItemSelectionAllowed="1" dragToData="1">
      <members count="6" level="1">
        <member name="[tblStocks].[Symbol].&amp;[ADANIENT]"/>
        <member name="[tblStocks].[Symbol].&amp;[ADANIPORTS]"/>
        <member name="[tblStocks].[Symbol].&amp;[ASIANPAINT]"/>
        <member name="[tblStocks].[Symbol].&amp;[HDFCBANK]"/>
        <member name="[tblStocks].[Symbol].&amp;[INFY]"/>
        <member name="[tblStocks].[Symbol].&amp;[TCS]"/>
      </members>
    </pivotHierarchy>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dateBetween" evalOrder="-1" id="41"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rowHierarchiesUsage count="3">
    <rowHierarchyUsage hierarchyUsage="25"/>
    <rowHierarchyUsage hierarchyUsage="24"/>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activeTabTopLevelEntity name="[tblStoc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8806891-6523-4076-8681-00E65C62BAC8}" name="PivotTable12" cacheId="11" applyNumberFormats="0" applyBorderFormats="0" applyFontFormats="0" applyPatternFormats="0" applyAlignmentFormats="0" applyWidthHeightFormats="1" dataCaption="Values" tag="293020ae-fc62-47b6-8e9d-1c79180964d8" updatedVersion="8" minRefreshableVersion="5" subtotalHiddenItems="1" itemPrintTitles="1" createdVersion="8" indent="0" outline="1" outlineData="1" multipleFieldFilters="0" chartFormat="2">
  <location ref="B3:C8" firstHeaderRow="1" firstDataRow="1" firstDataCol="1"/>
  <pivotFields count="5">
    <pivotField axis="axisRow" allDrilled="1" subtotalTop="0" showAll="0" sortType="descending" defaultSubtotal="0" defaultAttributeDrillState="1">
      <items count="5">
        <item s="1" x="0"/>
        <item s="1" x="1"/>
        <item s="1" x="2"/>
        <item s="1" x="3"/>
        <item s="1"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3"/>
    </i>
    <i>
      <x v="2"/>
    </i>
    <i t="grand">
      <x/>
    </i>
  </rowItems>
  <colItems count="1">
    <i/>
  </colItems>
  <dataFields count="1">
    <dataField fld="1" subtotal="count" baseField="0" baseItem="0"/>
  </dataFields>
  <chartFormats count="7">
    <chartFormat chart="9"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0" count="1" selected="0">
            <x v="1"/>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 chart="0" format="6">
      <pivotArea type="data" outline="0" fieldPosition="0">
        <references count="2">
          <reference field="4294967294" count="1" selected="0">
            <x v="0"/>
          </reference>
          <reference field="0" count="1" selected="0">
            <x v="0"/>
          </reference>
        </references>
      </pivotArea>
    </chartFormat>
    <chartFormat chart="0" format="7">
      <pivotArea type="data" outline="0" fieldPosition="0">
        <references count="2">
          <reference field="4294967294" count="1" selected="0">
            <x v="0"/>
          </reference>
          <reference field="0" count="1" selected="0">
            <x v="4"/>
          </reference>
        </references>
      </pivotArea>
    </chartFormat>
    <chartFormat chart="0" format="8">
      <pivotArea type="data" outline="0" fieldPosition="0">
        <references count="2">
          <reference field="4294967294" count="1" selected="0">
            <x v="0"/>
          </reference>
          <reference field="0" count="1" selected="0">
            <x v="2"/>
          </reference>
        </references>
      </pivotArea>
    </chartFormat>
  </chartFormats>
  <pivotHierarchies count="55">
    <pivotHierarchy dragToData="1"/>
    <pivotHierarchy dragToData="1"/>
    <pivotHierarchy dragToData="1"/>
    <pivotHierarchy dragToData="1"/>
    <pivotHierarchy dragToData="1"/>
    <pivotHierarchy multipleItemSelectionAllowed="1" dragToData="1">
      <members count="6" level="1">
        <member name="[tblStocks].[Symbol].&amp;[ADANIENT]"/>
        <member name="[tblStocks].[Symbol].&amp;[ADANIPORTS]"/>
        <member name="[tblStocks].[Symbol].&amp;[ASIANPAINT]"/>
        <member name="[tblStocks].[Symbol].&amp;[HDFCBANK]"/>
        <member name="[tblStocks].[Symbol].&amp;[INFY]"/>
        <member name="[tblStocks].[Symbol].&amp;[TCS]"/>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dateBetween" evalOrder="-1" id="41"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tock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1EC086D-DCFC-4537-9E6F-471AE276B6F7}" name="PivotTable8" cacheId="2" applyNumberFormats="0" applyBorderFormats="0" applyFontFormats="0" applyPatternFormats="0" applyAlignmentFormats="0" applyWidthHeightFormats="1" dataCaption="Values" tag="6b80c973-c90e-430c-a4ec-a317d2866388" updatedVersion="8" minRefreshableVersion="3" itemPrintTitles="1" createdVersion="8" indent="0" outline="1" outlineData="1" multipleFieldFilters="0">
  <location ref="AQ4:AQ5"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activeTabTopLevelEntity name="[tblStock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C84E434-D744-4C83-BD9F-E649741247B5}" name="PivotTable16" cacheId="8" applyNumberFormats="0" applyBorderFormats="0" applyFontFormats="0" applyPatternFormats="0" applyAlignmentFormats="0" applyWidthHeightFormats="1" dataCaption="Values" tag="0d8dfdd9-d2e2-4e8e-ac1a-a03540e37e64" updatedVersion="8" minRefreshableVersion="5" useAutoFormatting="1" subtotalHiddenItems="1" itemPrintTitles="1" createdVersion="8" indent="0" outline="1" outlineData="1" multipleFieldFilters="0">
  <location ref="S4:T10" firstHeaderRow="1"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pivotHierarchies count="55">
    <pivotHierarchy dragToData="1"/>
    <pivotHierarchy dragToData="1"/>
    <pivotHierarchy dragToData="1"/>
    <pivotHierarchy dragToData="1"/>
    <pivotHierarchy dragToData="1"/>
    <pivotHierarchy multipleItemSelectionAllowed="1" dragToData="1">
      <members count="6" level="1">
        <member name="[tblStocks].[Symbol].&amp;[ADANIENT]"/>
        <member name="[tblStocks].[Symbol].&amp;[ADANIPORTS]"/>
        <member name="[tblStocks].[Symbol].&amp;[ASIANPAINT]"/>
        <member name="[tblStocks].[Symbol].&amp;[HDFCBANK]"/>
        <member name="[tblStocks].[Symbol].&amp;[INFY]"/>
        <member name="[tblStocks].[Symbol].&amp;[TCS]"/>
      </members>
    </pivotHierarchy>
    <pivotHierarchy multipleItemSelectionAllowed="1" dragToData="1">
      <members count="5" level="1">
        <member name="[tblStocks].[Sector].&amp;[Consumer Staples]"/>
        <member name="[tblStocks].[Sector].&amp;[Energy]"/>
        <member name="[tblStocks].[Sector].&amp;[Financials]"/>
        <member name="[tblStocks].[Sector].&amp;[Industrials]"/>
        <member name="[tblStocks].[Sector].&amp;[Information Technology]"/>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dateBetween" evalOrder="-1" id="41" name="[tblTransactions].[Date]">
      <autoFilter ref="A1">
        <filterColumn colId="0">
          <customFilters and="1">
            <customFilter operator="greaterThanOrEqual" val="46054"/>
            <customFilter operator="lessThanOrEqual" val="46234"/>
          </customFilters>
        </filterColumn>
      </autoFilter>
      <extLst>
        <ext xmlns:x15="http://schemas.microsoft.com/office/spreadsheetml/2010/11/main" uri="{0605FD5F-26C8-4aeb-8148-2DB25E43C511}">
          <x15:pivotFilter useWholeDay="1"/>
        </ext>
      </extLst>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C3B55CB-F47E-4C84-81E7-4B36FBF9468C}" name="PivotTable7" cacheId="3" applyNumberFormats="0" applyBorderFormats="0" applyFontFormats="0" applyPatternFormats="0" applyAlignmentFormats="0" applyWidthHeightFormats="1" dataCaption="Values" tag="6d6b9b84-dd9f-4db6-80e7-8f54835044f4" updatedVersion="8" minRefreshableVersion="3" itemPrintTitles="1" createdVersion="8" indent="0" outline="1" outlineData="1" multipleFieldFilters="0">
  <location ref="AO4:AO5"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ransac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ctor" xr10:uid="{9C3561DB-2BC7-4D5B-A4DD-A3C245F13BA6}" sourceName="[tblStocks].[Sector]">
  <pivotTables>
    <pivotTable tabId="8" name="PivotTable12"/>
    <pivotTable tabId="8" name="PivotTable13"/>
    <pivotTable tabId="8" name="PivotTable14"/>
    <pivotTable tabId="8" name="PivotTable15"/>
    <pivotTable tabId="8" name="PivotTable16"/>
    <pivotTable tabId="8" name="PivotTable20"/>
    <pivotTable tabId="8" name="PivotTable21"/>
    <pivotTable tabId="8" name="PivotTable22"/>
  </pivotTables>
  <data>
    <olap pivotCacheId="2002281149">
      <levels count="2">
        <level uniqueName="[tblStocks].[Sector].[(All)]" sourceCaption="(All)" count="0"/>
        <level uniqueName="[tblStocks].[Sector].[Sector]" sourceCaption="Sector" count="11">
          <ranges>
            <range startItem="0">
              <i n="[tblStocks].[Sector].&amp;[Consumer Staples]" c="Consumer Staples"/>
              <i n="[tblStocks].[Sector].&amp;[Financials]" c="Financials"/>
              <i n="[tblStocks].[Sector].&amp;[Industrials]" c="Industrials"/>
              <i n="[tblStocks].[Sector].&amp;[Information Technology]" c="Information Technology"/>
              <i n="[tblStocks].[Sector].&amp;[Automobile]" c="Automobile"/>
              <i n="[tblStocks].[Sector].&amp;[Consumer Discretionary]" c="Consumer Discretionary"/>
              <i n="[tblStocks].[Sector].&amp;[Energy]" c="Energy"/>
              <i n="[tblStocks].[Sector].&amp;[Healthcare]" c="Healthcare"/>
              <i n="[tblStocks].[Sector].&amp;[Materials]" c="Materials"/>
              <i n="[tblStocks].[Sector].&amp;[Telecom]" c="Telecom"/>
              <i n="[tblStocks].[Sector].&amp;[Utilities]" c="Utilities"/>
            </range>
          </ranges>
        </level>
      </levels>
      <selections count="5">
        <selection n="[tblStocks].[Sector].&amp;[Consumer Staples]"/>
        <selection n="[tblStocks].[Sector].&amp;[Energy]"/>
        <selection n="[tblStocks].[Sector].&amp;[Financials]"/>
        <selection n="[tblStocks].[Sector].&amp;[Industrials]"/>
        <selection n="[tblStocks].[Sector].&amp;[Information Technolog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ymbol" xr10:uid="{C3EF223E-2EBA-4FCE-A463-543D28684DAC}" sourceName="[tblStocks].[Symbol]">
  <pivotTables>
    <pivotTable tabId="8" name="PivotTable12"/>
    <pivotTable tabId="8" name="PivotTable13"/>
    <pivotTable tabId="8" name="PivotTable14"/>
    <pivotTable tabId="8" name="PivotTable15"/>
    <pivotTable tabId="8" name="PivotTable16"/>
    <pivotTable tabId="8" name="PivotTable20"/>
  </pivotTables>
  <data>
    <olap pivotCacheId="2002281149">
      <levels count="2">
        <level uniqueName="[tblStocks].[Symbol].[(All)]" sourceCaption="(All)" count="0"/>
        <level uniqueName="[tblStocks].[Symbol].[Symbol]" sourceCaption="Symbol" count="50">
          <ranges>
            <range startItem="0">
              <i n="[tblStocks].[Symbol].&amp;[ADANIPORTS]" c="ADANIPORTS"/>
              <i n="[tblStocks].[Symbol].&amp;[ASIANPAINT]" c="ASIANPAINT"/>
              <i n="[tblStocks].[Symbol].&amp;[HDFCBANK]" c="HDFCBANK"/>
              <i n="[tblStocks].[Symbol].&amp;[INFY]" c="INFY"/>
              <i n="[tblStocks].[Symbol].&amp;[TCS]" c="TCS"/>
              <i n="[tblStocks].[Symbol].&amp;[ADANIENT]" c="ADANIENT" nd="1"/>
              <i n="[tblStocks].[Symbol].&amp;[APOLLOHOSP]" c="APOLLOHOSP" nd="1"/>
              <i n="[tblStocks].[Symbol].&amp;[AXISBANK]" c="AXISBANK" nd="1"/>
              <i n="[tblStocks].[Symbol].&amp;[BAJAJ-AUTO]" c="BAJAJ-AUTO" nd="1"/>
              <i n="[tblStocks].[Symbol].&amp;[BAJAJFINSV]" c="BAJAJFINSV" nd="1"/>
              <i n="[tblStocks].[Symbol].&amp;[BAJFINANCE]" c="BAJFINANCE" nd="1"/>
              <i n="[tblStocks].[Symbol].&amp;[BEL]" c="BEL" nd="1"/>
              <i n="[tblStocks].[Symbol].&amp;[BHARTIARTL]" c="BHARTIARTL" nd="1"/>
              <i n="[tblStocks].[Symbol].&amp;[BPCL]" c="BPCL" nd="1"/>
              <i n="[tblStocks].[Symbol].&amp;[BRITANNIA]" c="BRITANNIA" nd="1"/>
              <i n="[tblStocks].[Symbol].&amp;[CIPLA]" c="CIPLA" nd="1"/>
              <i n="[tblStocks].[Symbol].&amp;[COALINDIA]" c="COALINDIA" nd="1"/>
              <i n="[tblStocks].[Symbol].&amp;[DRREDDY]" c="DRREDDY" nd="1"/>
              <i n="[tblStocks].[Symbol].&amp;[EICHERMOT]" c="EICHERMOT" nd="1"/>
              <i n="[tblStocks].[Symbol].&amp;[GRASIM]" c="GRASIM" nd="1"/>
              <i n="[tblStocks].[Symbol].&amp;[HCLTECH]" c="HCLTECH" nd="1"/>
              <i n="[tblStocks].[Symbol].&amp;[HDFCLIFE]" c="HDFCLIFE" nd="1"/>
              <i n="[tblStocks].[Symbol].&amp;[HEROMOTOCO]" c="HEROMOTOCO" nd="1"/>
              <i n="[tblStocks].[Symbol].&amp;[HINDALCO]" c="HINDALCO" nd="1"/>
              <i n="[tblStocks].[Symbol].&amp;[HINDUNILVR]" c="HINDUNILVR" nd="1"/>
              <i n="[tblStocks].[Symbol].&amp;[ICICIBANK]" c="ICICIBANK" nd="1"/>
              <i n="[tblStocks].[Symbol].&amp;[INDUSINDBK]" c="INDUSINDBK" nd="1"/>
              <i n="[tblStocks].[Symbol].&amp;[ITC]" c="ITC" nd="1"/>
              <i n="[tblStocks].[Symbol].&amp;[JSWSTEEL]" c="JSWSTEEL" nd="1"/>
              <i n="[tblStocks].[Symbol].&amp;[KOTAKBANK]" c="KOTAKBANK" nd="1"/>
              <i n="[tblStocks].[Symbol].&amp;[LT]" c="LT" nd="1"/>
              <i n="[tblStocks].[Symbol].&amp;[M&amp;M]" c="M&amp;M" nd="1"/>
              <i n="[tblStocks].[Symbol].&amp;[MARUTI]" c="MARUTI" nd="1"/>
              <i n="[tblStocks].[Symbol].&amp;[NESTLEIND]" c="NESTLEIND" nd="1"/>
              <i n="[tblStocks].[Symbol].&amp;[NTPC]" c="NTPC" nd="1"/>
              <i n="[tblStocks].[Symbol].&amp;[ONGC]" c="ONGC" nd="1"/>
              <i n="[tblStocks].[Symbol].&amp;[POWERGRID]" c="POWERGRID" nd="1"/>
              <i n="[tblStocks].[Symbol].&amp;[RELIANCE]" c="RELIANCE" nd="1"/>
              <i n="[tblStocks].[Symbol].&amp;[SBILIFE]" c="SBILIFE" nd="1"/>
              <i n="[tblStocks].[Symbol].&amp;[SBIN]" c="SBIN" nd="1"/>
              <i n="[tblStocks].[Symbol].&amp;[SHRIRAMFIN]" c="SHRIRAMFIN" nd="1"/>
              <i n="[tblStocks].[Symbol].&amp;[SUNPHARMA]" c="SUNPHARMA" nd="1"/>
              <i n="[tblStocks].[Symbol].&amp;[TATACONSUM]" c="TATACONSUM" nd="1"/>
              <i n="[tblStocks].[Symbol].&amp;[TATAMOTORS]" c="TATAMOTORS" nd="1"/>
              <i n="[tblStocks].[Symbol].&amp;[TATASTEEL]" c="TATASTEEL" nd="1"/>
              <i n="[tblStocks].[Symbol].&amp;[TECHM]" c="TECHM" nd="1"/>
              <i n="[tblStocks].[Symbol].&amp;[TITAN]" c="TITAN" nd="1"/>
              <i n="[tblStocks].[Symbol].&amp;[TRENT]" c="TRENT" nd="1"/>
              <i n="[tblStocks].[Symbol].&amp;[ULTRACEMCO]" c="ULTRACEMCO" nd="1"/>
              <i n="[tblStocks].[Symbol].&amp;[WIPRO]" c="WIPRO" nd="1"/>
            </range>
          </ranges>
        </level>
      </levels>
      <selections count="6">
        <selection n="[tblStocks].[Symbol].&amp;[ADANIENT]"/>
        <selection n="[tblStocks].[Symbol].&amp;[ADANIPORTS]"/>
        <selection n="[tblStocks].[Symbol].&amp;[ASIANPAINT]"/>
        <selection n="[tblStocks].[Symbol].&amp;[HDFCBANK]"/>
        <selection n="[tblStocks].[Symbol].&amp;[INFY]"/>
        <selection n="[tblStocks].[Symbol].&amp;[TCS]"/>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oker" xr10:uid="{59F6B8A9-E91E-4F53-A793-8B26EECCC386}" sourceName="[tblTransactions].[Broker]">
  <pivotTables>
    <pivotTable tabId="8" name="PivotTable12"/>
    <pivotTable tabId="8" name="PivotTable13"/>
    <pivotTable tabId="8" name="PivotTable14"/>
    <pivotTable tabId="8" name="PivotTable15"/>
    <pivotTable tabId="8" name="PivotTable16"/>
    <pivotTable tabId="8" name="PivotTable20"/>
    <pivotTable tabId="8" name="PivotTable21"/>
    <pivotTable tabId="8" name="PivotTable22"/>
  </pivotTables>
  <data>
    <olap pivotCacheId="2002281149">
      <levels count="2">
        <level uniqueName="[tblTransactions].[Broker].[(All)]" sourceCaption="(All)" count="0"/>
        <level uniqueName="[tblTransactions].[Broker].[Broker]" sourceCaption="Broker" count="2">
          <ranges>
            <range startItem="0">
              <i n="[tblTransactions].[Broker].&amp;[Groww]" c="Groww"/>
              <i n="[tblTransactions].[Broker].&amp;[Zerodha]" c="Zerodha"/>
            </range>
          </ranges>
        </level>
      </levels>
      <selections count="1">
        <selection n="[tblTransactions].[Brok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tor" xr10:uid="{F0FBEE87-6A88-43FF-98D1-2CEEA8C25B47}" cache="Slicer_Sector" caption="Sector" level="1" style="SlicerStyleLight6" rowHeight="234950"/>
  <slicer name="Symbol" xr10:uid="{71651750-E21A-47B8-9DF7-A7D8C40DD6AE}" cache="Slicer_Symbol" caption="Symbol" columnCount="2" level="1" style="SlicerStyleLight6" rowHeight="234950"/>
  <slicer name="Broker" xr10:uid="{6614B918-FA92-4647-B184-766472376CBA}" cache="Slicer_Broker" caption="Broker" level="1"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B80B399-9F9A-424B-83B7-E077B316A64E}" name="tblPrices" displayName="tblPrices" ref="A1:C51" totalsRowShown="0" headerRowDxfId="35">
  <autoFilter ref="A1:C51" xr:uid="{FB80B399-9F9A-424B-83B7-E077B316A64E}"/>
  <tableColumns count="3">
    <tableColumn id="1" xr3:uid="{8E80B2B0-A275-466B-80AC-D4B304726C32}" name="Symbol" dataDxfId="34">
      <calculatedColumnFormula>tblStocks[[#This Row],[Symbol]]</calculatedColumnFormula>
    </tableColumn>
    <tableColumn id="2" xr3:uid="{82576DDA-7E27-4874-9403-6A151FD790FF}" name="Current price"/>
    <tableColumn id="3" xr3:uid="{48E39BF5-8698-4B69-9497-E7BB41C84D72}" name="Last updat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C00D37-B601-4D73-81DE-03FFEC941DB3}" name="tblTransactions" displayName="tblTransactions" ref="A1:I11" insertRowShift="1" totalsRowShown="0" headerRowDxfId="33" dataDxfId="32">
  <autoFilter ref="A1:I11" xr:uid="{D2C00D37-B601-4D73-81DE-03FFEC941DB3}"/>
  <tableColumns count="9">
    <tableColumn id="1" xr3:uid="{325BEB2C-1F8A-429F-A5EC-8D1153326C9A}" name="Transaction ID"/>
    <tableColumn id="2" xr3:uid="{6887AAE7-6763-487B-BEBD-9458F86F5BD7}" name="Date"/>
    <tableColumn id="3" xr3:uid="{151DE304-E6F7-4CEB-ADFB-6CD40C621D2B}" name="Symbol"/>
    <tableColumn id="4" xr3:uid="{E005CCB0-0974-4B14-9E77-8698FBD9D9C5}" name="Buy/Sell"/>
    <tableColumn id="5" xr3:uid="{AC2E1FA5-EFF0-4500-B6ED-DC7205AD99A7}" name="Quantity"/>
    <tableColumn id="6" xr3:uid="{1B420F9C-6A2F-429C-8C1D-271291A2460D}" name="Price/Share"/>
    <tableColumn id="7" xr3:uid="{2BB140E4-F149-4E44-972B-A44D2A9B34D6}" name="Charges"/>
    <tableColumn id="8" xr3:uid="{DA67E3A1-D70C-4153-A68E-19385E7623B8}" name="Net Amount" dataDxfId="31">
      <calculatedColumnFormula>IF(tblTransactions[[#This Row],[Buy/Sell]]="Buy",
(tblTransactions[[#This Row],[Quantity]]*tblTransactions[[#This Row],[Price/Share]])+tblTransactions[[#This Row],[Charges]],
(tblTransactions[[#This Row],[Quantity]]*tblTransactions[[#This Row],[Price/Share]])-tblTransactions[[#This Row],[Charges]])</calculatedColumnFormula>
    </tableColumn>
    <tableColumn id="9" xr3:uid="{EB5F9649-33E3-441A-A9DF-11F520A2F947}" name="Broker" dataDxfId="30"/>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7ACCA-DD0D-49B4-8675-D84FA8C5EB95}" name="tblStocks" displayName="tblStocks" ref="A1:L51" totalsRowShown="0">
  <autoFilter ref="A1:L51" xr:uid="{61D7ACCA-DD0D-49B4-8675-D84FA8C5EB95}"/>
  <tableColumns count="12">
    <tableColumn id="1" xr3:uid="{2C837BEB-CBC0-4DF0-BBC3-F45754EDEF1E}" name="#"/>
    <tableColumn id="2" xr3:uid="{DAA74561-29E3-4A96-92D7-FAFEC6402072}" name="Company Name" dataDxfId="10"/>
    <tableColumn id="3" xr3:uid="{080C1770-5FD2-46E5-9871-E540684D3369}" name="Symbol" dataDxfId="9"/>
    <tableColumn id="4" xr3:uid="{8EED90BE-29E6-4416-9046-8AC43DB9216C}" name="Sector" dataDxfId="8"/>
    <tableColumn id="5" xr3:uid="{F3397A4C-A0F5-4D1C-BB6C-207A4078A4ED}" name="Industry" dataDxfId="7"/>
    <tableColumn id="6" xr3:uid="{D3740E7D-748A-4C02-8911-6344E9526C39}" name="Exchange" dataDxfId="6"/>
    <tableColumn id="7" xr3:uid="{AE270AE4-0A6B-46F1-A6DC-6B2352D2DC01}" name="Holdings" dataDxfId="5">
      <calculatedColumnFormula>SUMIFS(tblTransactions[Quantity],tblTransactions[Symbol],Calculations!A2,tblTransactions[Buy/Sell],"Buy")-SUMIFS(tblTransactions[Quantity],tblTransactions[Symbol],Calculations!A2,tblTransactions[Buy/Sell],"Sell")</calculatedColumnFormula>
    </tableColumn>
    <tableColumn id="8" xr3:uid="{E1424020-A34D-4A37-B63F-302DF2F05D34}" name="Current Price" dataDxfId="4">
      <calculatedColumnFormula>_xlfn.XLOOKUP(Calculations!A2,tblPrices[Symbol],tblPrices[Current price],"")</calculatedColumnFormula>
    </tableColumn>
    <tableColumn id="9" xr3:uid="{9CFB8276-AB11-4F88-8069-EADE0264ABEB}" name="Market Value" dataDxfId="3">
      <calculatedColumnFormula>G2*H2</calculatedColumnFormula>
    </tableColumn>
    <tableColumn id="10" xr3:uid="{A0757B83-BD64-4E61-ACF3-3B70C6F5887E}" name="Avg Cost" dataDxfId="2">
      <calculatedColumnFormula array="1">IFERROR(
SUMPRODUCT(
(tblTransactions[Symbol]=Calculations!A2)*
(tblTransactions[Buy/Sell]="Buy")*
(tblTransactions[Quantity])*
(tblTransactions[Price/Share])
)
/
SUMIFS(tblTransactions[Quantity],
tblTransactions[Symbol],Calculations!A2,
tblTransactions[Buy/Sell],"Buy"),0)</calculatedColumnFormula>
    </tableColumn>
    <tableColumn id="11" xr3:uid="{A4894A0E-65F8-4812-80C7-F71C7E41FBB3}" name="Gain/Loss" dataDxfId="1">
      <calculatedColumnFormula>I2-(G2*J2)</calculatedColumnFormula>
    </tableColumn>
    <tableColumn id="12" xr3:uid="{7040B5D0-162F-4715-8FCE-6CB5AF9257BB}" name="Return %" dataDxfId="0">
      <calculatedColumnFormula>IFERROR(K2/(G2*J2),0)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43CE5067-C5AA-429F-A64E-FE9E31E56B5C}" sourceName="[tblTransactions].[Date]">
  <pivotTables>
    <pivotTable tabId="8" name="PivotTable12"/>
    <pivotTable tabId="8" name="PivotTable13"/>
    <pivotTable tabId="8" name="PivotTable14"/>
    <pivotTable tabId="8" name="PivotTable15"/>
    <pivotTable tabId="8" name="PivotTable16"/>
    <pivotTable tabId="8" name="PivotTable20"/>
    <pivotTable tabId="8" name="PivotTable21"/>
    <pivotTable tabId="8" name="PivotTable22"/>
  </pivotTables>
  <state minimalRefreshVersion="6" lastRefreshVersion="6" pivotCacheId="1165074089" filterType="dateBetween">
    <selection startDate="2026-02-01T00:00:00" endDate="2026-07-31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4ED9D3AF-1272-48B8-ADA8-901331F0AB0D}" cache="Timeline_Date" caption="Date" level="2" selectionLevel="2" scrollPosition="2026-01-01T00:00:00" style="TimeSlicerStyleLight6"/>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F226-BC0E-4CF3-85E9-1A643B7230A4}">
  <sheetPr codeName="Sheet5"/>
  <dimension ref="A1:C51"/>
  <sheetViews>
    <sheetView workbookViewId="0">
      <selection activeCell="G25" sqref="G25"/>
    </sheetView>
  </sheetViews>
  <sheetFormatPr defaultRowHeight="14.4" x14ac:dyDescent="0.3"/>
  <cols>
    <col min="1" max="1" width="13.5546875" bestFit="1" customWidth="1"/>
    <col min="2" max="2" width="13.77734375" customWidth="1"/>
    <col min="3" max="3" width="13.6640625" bestFit="1" customWidth="1"/>
  </cols>
  <sheetData>
    <row r="1" spans="1:3" x14ac:dyDescent="0.3">
      <c r="A1" s="1" t="s">
        <v>6</v>
      </c>
      <c r="B1" s="1" t="s">
        <v>155</v>
      </c>
      <c r="C1" s="1" t="s">
        <v>156</v>
      </c>
    </row>
    <row r="2" spans="1:3" x14ac:dyDescent="0.3">
      <c r="A2" t="str">
        <f>tblStocks[[#This Row],[Symbol]]</f>
        <v>ADANIENT</v>
      </c>
      <c r="B2">
        <v>3187.1</v>
      </c>
      <c r="C2" s="22">
        <v>46205.460949074077</v>
      </c>
    </row>
    <row r="3" spans="1:3" x14ac:dyDescent="0.3">
      <c r="A3" t="str">
        <f>tblStocks[[#This Row],[Symbol]]</f>
        <v>ADANIPORTS</v>
      </c>
      <c r="B3">
        <v>1869.7</v>
      </c>
      <c r="C3" s="22">
        <v>46205.460949074077</v>
      </c>
    </row>
    <row r="4" spans="1:3" x14ac:dyDescent="0.3">
      <c r="A4" t="str">
        <f>tblStocks[[#This Row],[Symbol]]</f>
        <v>APOLLOHOSP</v>
      </c>
      <c r="B4">
        <v>8630.5</v>
      </c>
      <c r="C4" s="22">
        <v>46205.460949074077</v>
      </c>
    </row>
    <row r="5" spans="1:3" x14ac:dyDescent="0.3">
      <c r="A5" t="str">
        <f>tblStocks[[#This Row],[Symbol]]</f>
        <v>ASIANPAINT</v>
      </c>
      <c r="B5">
        <v>2731.1</v>
      </c>
      <c r="C5" s="22">
        <v>46205.460949074077</v>
      </c>
    </row>
    <row r="6" spans="1:3" x14ac:dyDescent="0.3">
      <c r="A6" t="str">
        <f>tblStocks[[#This Row],[Symbol]]</f>
        <v>AXISBANK</v>
      </c>
      <c r="B6">
        <v>1363.1</v>
      </c>
      <c r="C6" s="22">
        <v>46205.460949074077</v>
      </c>
    </row>
    <row r="7" spans="1:3" x14ac:dyDescent="0.3">
      <c r="A7" t="str">
        <f>tblStocks[[#This Row],[Symbol]]</f>
        <v>BAJAJ-AUTO</v>
      </c>
      <c r="B7">
        <v>9750</v>
      </c>
      <c r="C7" s="22">
        <v>46205.460949074077</v>
      </c>
    </row>
    <row r="8" spans="1:3" x14ac:dyDescent="0.3">
      <c r="A8" t="str">
        <f>tblStocks[[#This Row],[Symbol]]</f>
        <v>BAJFINANCE</v>
      </c>
      <c r="B8">
        <v>1023.6</v>
      </c>
      <c r="C8" s="22">
        <v>46205.460949074077</v>
      </c>
    </row>
    <row r="9" spans="1:3" x14ac:dyDescent="0.3">
      <c r="A9" t="str">
        <f>tblStocks[[#This Row],[Symbol]]</f>
        <v>BAJAJFINSV</v>
      </c>
      <c r="B9">
        <v>1851.4</v>
      </c>
      <c r="C9" s="22">
        <v>46205.460949074077</v>
      </c>
    </row>
    <row r="10" spans="1:3" x14ac:dyDescent="0.3">
      <c r="A10" t="str">
        <f>tblStocks[[#This Row],[Symbol]]</f>
        <v>BEL</v>
      </c>
      <c r="B10">
        <v>414.2</v>
      </c>
      <c r="C10" s="22">
        <v>46205.460949074077</v>
      </c>
    </row>
    <row r="11" spans="1:3" x14ac:dyDescent="0.3">
      <c r="A11" t="str">
        <f>tblStocks[[#This Row],[Symbol]]</f>
        <v>BPCL</v>
      </c>
      <c r="B11">
        <v>312.5</v>
      </c>
      <c r="C11" s="22">
        <v>46205.460949074077</v>
      </c>
    </row>
    <row r="12" spans="1:3" x14ac:dyDescent="0.3">
      <c r="A12" t="str">
        <f>tblStocks[[#This Row],[Symbol]]</f>
        <v>BHARTIARTL</v>
      </c>
      <c r="B12">
        <v>1857.5</v>
      </c>
      <c r="C12" s="22">
        <v>46205.460949074077</v>
      </c>
    </row>
    <row r="13" spans="1:3" x14ac:dyDescent="0.3">
      <c r="A13" t="str">
        <f>tblStocks[[#This Row],[Symbol]]</f>
        <v>BRITANNIA</v>
      </c>
      <c r="B13">
        <v>5312.5</v>
      </c>
      <c r="C13" s="22">
        <v>46205.460949074077</v>
      </c>
    </row>
    <row r="14" spans="1:3" x14ac:dyDescent="0.3">
      <c r="A14" t="str">
        <f>tblStocks[[#This Row],[Symbol]]</f>
        <v>CIPLA</v>
      </c>
      <c r="B14">
        <v>1457.8</v>
      </c>
      <c r="C14" s="22">
        <v>46205.460949074077</v>
      </c>
    </row>
    <row r="15" spans="1:3" x14ac:dyDescent="0.3">
      <c r="A15" t="str">
        <f>tblStocks[[#This Row],[Symbol]]</f>
        <v>COALINDIA</v>
      </c>
      <c r="B15">
        <v>434.3</v>
      </c>
      <c r="C15" s="22">
        <v>46205.460949074077</v>
      </c>
    </row>
    <row r="16" spans="1:3" x14ac:dyDescent="0.3">
      <c r="A16" t="str">
        <f>tblStocks[[#This Row],[Symbol]]</f>
        <v>DRREDDY</v>
      </c>
      <c r="B16">
        <v>1346</v>
      </c>
      <c r="C16" s="22">
        <v>46205.460949074077</v>
      </c>
    </row>
    <row r="17" spans="1:3" x14ac:dyDescent="0.3">
      <c r="A17" t="str">
        <f>tblStocks[[#This Row],[Symbol]]</f>
        <v>EICHERMOT</v>
      </c>
      <c r="B17">
        <v>7182.5</v>
      </c>
      <c r="C17" s="22">
        <v>46205.460949074077</v>
      </c>
    </row>
    <row r="18" spans="1:3" x14ac:dyDescent="0.3">
      <c r="A18" t="str">
        <f>tblStocks[[#This Row],[Symbol]]</f>
        <v>GRASIM</v>
      </c>
      <c r="B18">
        <v>3162.4</v>
      </c>
      <c r="C18" s="22">
        <v>46205.460949074077</v>
      </c>
    </row>
    <row r="19" spans="1:3" x14ac:dyDescent="0.3">
      <c r="A19" t="str">
        <f>tblStocks[[#This Row],[Symbol]]</f>
        <v>HCLTECH</v>
      </c>
      <c r="B19">
        <v>1075.5999999999999</v>
      </c>
      <c r="C19" s="22">
        <v>46205.460949074077</v>
      </c>
    </row>
    <row r="20" spans="1:3" x14ac:dyDescent="0.3">
      <c r="A20" t="str">
        <f>tblStocks[[#This Row],[Symbol]]</f>
        <v>HDFCBANK</v>
      </c>
      <c r="B20">
        <v>798.3</v>
      </c>
      <c r="C20" s="22">
        <v>46205.460949074077</v>
      </c>
    </row>
    <row r="21" spans="1:3" x14ac:dyDescent="0.3">
      <c r="A21" t="str">
        <f>tblStocks[[#This Row],[Symbol]]</f>
        <v>HDFCLIFE</v>
      </c>
      <c r="B21">
        <v>571.5</v>
      </c>
      <c r="C21" s="22">
        <v>46205.460949074077</v>
      </c>
    </row>
    <row r="22" spans="1:3" x14ac:dyDescent="0.3">
      <c r="A22" t="str">
        <f>tblStocks[[#This Row],[Symbol]]</f>
        <v>HEROMOTOCO</v>
      </c>
      <c r="B22">
        <v>4817.2</v>
      </c>
      <c r="C22" s="22">
        <v>46205.460949074077</v>
      </c>
    </row>
    <row r="23" spans="1:3" x14ac:dyDescent="0.3">
      <c r="A23" t="str">
        <f>tblStocks[[#This Row],[Symbol]]</f>
        <v>HINDALCO</v>
      </c>
      <c r="B23">
        <v>956.7</v>
      </c>
      <c r="C23" s="22">
        <v>46205.460949074077</v>
      </c>
    </row>
    <row r="24" spans="1:3" x14ac:dyDescent="0.3">
      <c r="A24" t="str">
        <f>tblStocks[[#This Row],[Symbol]]</f>
        <v>HINDUNILVR</v>
      </c>
      <c r="B24">
        <v>2183.9</v>
      </c>
      <c r="C24" s="22">
        <v>46205.460949074077</v>
      </c>
    </row>
    <row r="25" spans="1:3" x14ac:dyDescent="0.3">
      <c r="A25" t="str">
        <f>tblStocks[[#This Row],[Symbol]]</f>
        <v>ICICIBANK</v>
      </c>
      <c r="B25">
        <v>1388.8</v>
      </c>
      <c r="C25" s="22">
        <v>46205.460949074077</v>
      </c>
    </row>
    <row r="26" spans="1:3" x14ac:dyDescent="0.3">
      <c r="A26" t="str">
        <f>tblStocks[[#This Row],[Symbol]]</f>
        <v>INDUSINDBK</v>
      </c>
      <c r="B26">
        <v>936</v>
      </c>
      <c r="C26" s="22">
        <v>46205.460949074077</v>
      </c>
    </row>
    <row r="27" spans="1:3" x14ac:dyDescent="0.3">
      <c r="A27" t="str">
        <f>tblStocks[[#This Row],[Symbol]]</f>
        <v>INFY</v>
      </c>
      <c r="B27">
        <v>1036</v>
      </c>
      <c r="C27" s="22">
        <v>46205.460949074077</v>
      </c>
    </row>
    <row r="28" spans="1:3" x14ac:dyDescent="0.3">
      <c r="A28" t="str">
        <f>tblStocks[[#This Row],[Symbol]]</f>
        <v>ITC</v>
      </c>
      <c r="B28">
        <v>289.05</v>
      </c>
      <c r="C28" s="22">
        <v>46205.461099537039</v>
      </c>
    </row>
    <row r="29" spans="1:3" x14ac:dyDescent="0.3">
      <c r="A29" t="str">
        <f>tblStocks[[#This Row],[Symbol]]</f>
        <v>JSWSTEEL</v>
      </c>
      <c r="B29">
        <v>1228.8</v>
      </c>
      <c r="C29" s="22">
        <v>46205.461099537039</v>
      </c>
    </row>
    <row r="30" spans="1:3" x14ac:dyDescent="0.3">
      <c r="A30" t="str">
        <f>tblStocks[[#This Row],[Symbol]]</f>
        <v>KOTAKBANK</v>
      </c>
      <c r="B30">
        <v>399.2</v>
      </c>
      <c r="C30" s="22">
        <v>46205.461099537039</v>
      </c>
    </row>
    <row r="31" spans="1:3" x14ac:dyDescent="0.3">
      <c r="A31" t="str">
        <f>tblStocks[[#This Row],[Symbol]]</f>
        <v>LT</v>
      </c>
      <c r="B31">
        <v>4044.4</v>
      </c>
      <c r="C31" s="22">
        <v>46205.461099537039</v>
      </c>
    </row>
    <row r="32" spans="1:3" x14ac:dyDescent="0.3">
      <c r="A32" t="str">
        <f>tblStocks[[#This Row],[Symbol]]</f>
        <v>M&amp;M</v>
      </c>
      <c r="B32">
        <v>3117.6</v>
      </c>
      <c r="C32" s="22">
        <v>46205.461099537039</v>
      </c>
    </row>
    <row r="33" spans="1:3" x14ac:dyDescent="0.3">
      <c r="A33" t="str">
        <f>tblStocks[[#This Row],[Symbol]]</f>
        <v>MARUTI</v>
      </c>
      <c r="B33">
        <v>14377</v>
      </c>
      <c r="C33" s="22">
        <v>46205.461099537039</v>
      </c>
    </row>
    <row r="34" spans="1:3" x14ac:dyDescent="0.3">
      <c r="A34" t="str">
        <f>tblStocks[[#This Row],[Symbol]]</f>
        <v>NESTLEIND</v>
      </c>
      <c r="B34">
        <v>1456.9</v>
      </c>
      <c r="C34" s="22">
        <v>46205.461099537039</v>
      </c>
    </row>
    <row r="35" spans="1:3" x14ac:dyDescent="0.3">
      <c r="A35" t="str">
        <f>tblStocks[[#This Row],[Symbol]]</f>
        <v>NTPC</v>
      </c>
      <c r="B35">
        <v>358.8</v>
      </c>
      <c r="C35" s="22">
        <v>46205.461099537039</v>
      </c>
    </row>
    <row r="36" spans="1:3" x14ac:dyDescent="0.3">
      <c r="A36" t="str">
        <f>tblStocks[[#This Row],[Symbol]]</f>
        <v>ONGC</v>
      </c>
      <c r="B36">
        <v>235.25</v>
      </c>
      <c r="C36" s="22">
        <v>46205.461099537039</v>
      </c>
    </row>
    <row r="37" spans="1:3" x14ac:dyDescent="0.3">
      <c r="A37" t="str">
        <f>tblStocks[[#This Row],[Symbol]]</f>
        <v>POWERGRID</v>
      </c>
      <c r="B37">
        <v>288.8</v>
      </c>
      <c r="C37" s="22">
        <v>46205.461099537039</v>
      </c>
    </row>
    <row r="38" spans="1:3" x14ac:dyDescent="0.3">
      <c r="A38" t="str">
        <f>tblStocks[[#This Row],[Symbol]]</f>
        <v>RELIANCE</v>
      </c>
      <c r="B38">
        <v>1303.0999999999999</v>
      </c>
      <c r="C38" s="22">
        <v>46205.461099537039</v>
      </c>
    </row>
    <row r="39" spans="1:3" x14ac:dyDescent="0.3">
      <c r="A39" t="str">
        <f>tblStocks[[#This Row],[Symbol]]</f>
        <v>SBILIFE</v>
      </c>
      <c r="B39">
        <v>1776.8</v>
      </c>
      <c r="C39" s="22">
        <v>46205.461099537039</v>
      </c>
    </row>
    <row r="40" spans="1:3" x14ac:dyDescent="0.3">
      <c r="A40" t="str">
        <f>tblStocks[[#This Row],[Symbol]]</f>
        <v>SHRIRAMFIN</v>
      </c>
      <c r="B40">
        <v>1064.5999999999999</v>
      </c>
      <c r="C40" s="22">
        <v>46205.461099537039</v>
      </c>
    </row>
    <row r="41" spans="1:3" x14ac:dyDescent="0.3">
      <c r="A41" t="str">
        <f>tblStocks[[#This Row],[Symbol]]</f>
        <v>SBIN</v>
      </c>
      <c r="B41">
        <v>1053.7</v>
      </c>
      <c r="C41" s="22">
        <v>46205.461099537039</v>
      </c>
    </row>
    <row r="42" spans="1:3" x14ac:dyDescent="0.3">
      <c r="A42" t="str">
        <f>tblStocks[[#This Row],[Symbol]]</f>
        <v>SUNPHARMA</v>
      </c>
      <c r="B42">
        <v>1878.1</v>
      </c>
      <c r="C42" s="22">
        <v>46205.461099537039</v>
      </c>
    </row>
    <row r="43" spans="1:3" x14ac:dyDescent="0.3">
      <c r="A43" t="str">
        <f>tblStocks[[#This Row],[Symbol]]</f>
        <v>TCS</v>
      </c>
      <c r="B43">
        <v>2046.7</v>
      </c>
      <c r="C43" s="22">
        <v>46205.461099537039</v>
      </c>
    </row>
    <row r="44" spans="1:3" x14ac:dyDescent="0.3">
      <c r="A44" t="str">
        <f>tblStocks[[#This Row],[Symbol]]</f>
        <v>TATACONSUM</v>
      </c>
      <c r="B44">
        <v>1097.9000000000001</v>
      </c>
      <c r="C44" s="22">
        <v>46205.461099537039</v>
      </c>
    </row>
    <row r="45" spans="1:3" x14ac:dyDescent="0.3">
      <c r="A45" t="str">
        <f>tblStocks[[#This Row],[Symbol]]</f>
        <v>TATAMOTORS</v>
      </c>
    </row>
    <row r="46" spans="1:3" x14ac:dyDescent="0.3">
      <c r="A46" t="str">
        <f>tblStocks[[#This Row],[Symbol]]</f>
        <v>TATASTEEL</v>
      </c>
      <c r="B46">
        <v>186.68</v>
      </c>
      <c r="C46" s="22">
        <v>46205.461099537039</v>
      </c>
    </row>
    <row r="47" spans="1:3" x14ac:dyDescent="0.3">
      <c r="A47" t="str">
        <f>tblStocks[[#This Row],[Symbol]]</f>
        <v>TECHM</v>
      </c>
      <c r="B47">
        <v>1398</v>
      </c>
      <c r="C47" s="22">
        <v>46205.461099537039</v>
      </c>
    </row>
    <row r="48" spans="1:3" x14ac:dyDescent="0.3">
      <c r="A48" t="str">
        <f>tblStocks[[#This Row],[Symbol]]</f>
        <v>TITAN</v>
      </c>
      <c r="B48">
        <v>4406.2</v>
      </c>
      <c r="C48" s="22">
        <v>46205.461099537039</v>
      </c>
    </row>
    <row r="49" spans="1:3" x14ac:dyDescent="0.3">
      <c r="A49" t="str">
        <f>tblStocks[[#This Row],[Symbol]]</f>
        <v>TRENT</v>
      </c>
      <c r="B49">
        <v>3290.4</v>
      </c>
      <c r="C49" s="22">
        <v>46205.461099537039</v>
      </c>
    </row>
    <row r="50" spans="1:3" x14ac:dyDescent="0.3">
      <c r="A50" t="str">
        <f>tblStocks[[#This Row],[Symbol]]</f>
        <v>ULTRACEMCO</v>
      </c>
      <c r="B50">
        <v>11551</v>
      </c>
      <c r="C50" s="22">
        <v>46205.461099537039</v>
      </c>
    </row>
    <row r="51" spans="1:3" x14ac:dyDescent="0.3">
      <c r="A51" t="str">
        <f>tblStocks[[#This Row],[Symbol]]</f>
        <v>WIPRO</v>
      </c>
      <c r="B51">
        <v>173.92</v>
      </c>
      <c r="C51" s="22">
        <v>46205.461099537039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B2104-B698-42A1-9A61-A1949A4E86E7}">
  <sheetPr codeName="Sheet1"/>
  <dimension ref="B3:M24"/>
  <sheetViews>
    <sheetView showGridLines="0" showRowColHeaders="0" tabSelected="1" zoomScale="68" workbookViewId="0">
      <selection activeCell="F38" sqref="F38"/>
    </sheetView>
  </sheetViews>
  <sheetFormatPr defaultRowHeight="14.4" x14ac:dyDescent="0.3"/>
  <cols>
    <col min="2" max="2" width="12.5546875" bestFit="1" customWidth="1"/>
    <col min="3" max="3" width="8.21875" bestFit="1" customWidth="1"/>
    <col min="4" max="4" width="11.21875" bestFit="1" customWidth="1"/>
    <col min="5" max="5" width="16.77734375" bestFit="1" customWidth="1"/>
    <col min="6" max="7" width="12.5546875" bestFit="1" customWidth="1"/>
    <col min="8" max="8" width="13.77734375" customWidth="1"/>
    <col min="9" max="9" width="18.109375" customWidth="1"/>
    <col min="10" max="10" width="8.21875" bestFit="1" customWidth="1"/>
    <col min="11" max="11" width="11.21875" bestFit="1" customWidth="1"/>
    <col min="12" max="12" width="16.77734375" bestFit="1" customWidth="1"/>
    <col min="13" max="13" width="8.21875" bestFit="1" customWidth="1"/>
    <col min="14" max="14" width="11.21875" bestFit="1" customWidth="1"/>
    <col min="15" max="15" width="17.33203125" bestFit="1" customWidth="1"/>
  </cols>
  <sheetData>
    <row r="3" spans="2:13" s="5" customFormat="1" ht="25.8" x14ac:dyDescent="0.5"/>
    <row r="4" spans="2:13" ht="18" x14ac:dyDescent="0.35">
      <c r="I4" s="13"/>
      <c r="K4" s="13"/>
      <c r="M4" s="12"/>
    </row>
    <row r="5" spans="2:13" ht="25.8" x14ac:dyDescent="0.5">
      <c r="I5" s="14"/>
    </row>
    <row r="8" spans="2:13" ht="18" x14ac:dyDescent="0.35">
      <c r="I8" s="13"/>
    </row>
    <row r="9" spans="2:13" ht="25.8" x14ac:dyDescent="0.5">
      <c r="I9" s="14"/>
    </row>
    <row r="10" spans="2:13" x14ac:dyDescent="0.3">
      <c r="B10" s="7"/>
      <c r="C10" s="8"/>
    </row>
    <row r="24" hidden="1" x14ac:dyDescent="0.3"/>
  </sheetData>
  <sheetProtection sheet="1" selectLockedCells="1"/>
  <conditionalFormatting sqref="J61:J83 J92:J1048576">
    <cfRule type="dataBar" priority="6">
      <dataBar>
        <cfvo type="min"/>
        <cfvo type="max"/>
        <color rgb="FF63C384"/>
      </dataBar>
      <extLst>
        <ext xmlns:x14="http://schemas.microsoft.com/office/spreadsheetml/2009/9/main" uri="{B025F937-C7B1-47D3-B67F-A62EFF666E3E}">
          <x14:id>{606DA2F0-7933-4217-B3D3-3AB2F2DE5C15}</x14:id>
        </ext>
      </extLst>
    </cfRule>
  </conditionalFormatting>
  <conditionalFormatting sqref="I70:I1048576">
    <cfRule type="dataBar" priority="10">
      <dataBar>
        <cfvo type="min"/>
        <cfvo type="max"/>
        <color rgb="FF63C384"/>
      </dataBar>
      <extLst>
        <ext xmlns:x14="http://schemas.microsoft.com/office/spreadsheetml/2009/9/main" uri="{B025F937-C7B1-47D3-B67F-A62EFF666E3E}">
          <x14:id>{2171AAE9-6610-4870-ACDF-3D1AA1EC3685}</x14:id>
        </ext>
      </extLst>
    </cfRule>
  </conditionalFormatting>
  <conditionalFormatting sqref="E63:E1048576">
    <cfRule type="dataBar" priority="2">
      <dataBar>
        <cfvo type="min"/>
        <cfvo type="max"/>
        <color rgb="FF63C384"/>
      </dataBar>
      <extLst>
        <ext xmlns:x14="http://schemas.microsoft.com/office/spreadsheetml/2009/9/main" uri="{B025F937-C7B1-47D3-B67F-A62EFF666E3E}">
          <x14:id>{4B17AB28-6D4B-4747-8290-A06B724786DF}</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606DA2F0-7933-4217-B3D3-3AB2F2DE5C15}">
            <x14:dataBar minLength="0" maxLength="100" border="1" negativeBarBorderColorSameAsPositive="0">
              <x14:cfvo type="autoMin"/>
              <x14:cfvo type="autoMax"/>
              <x14:borderColor rgb="FF63C384"/>
              <x14:negativeFillColor rgb="FFFF0000"/>
              <x14:negativeBorderColor rgb="FFFF0000"/>
              <x14:axisColor rgb="FF000000"/>
            </x14:dataBar>
          </x14:cfRule>
          <xm:sqref>J61:J83 J92:J1048576</xm:sqref>
        </x14:conditionalFormatting>
        <x14:conditionalFormatting xmlns:xm="http://schemas.microsoft.com/office/excel/2006/main">
          <x14:cfRule type="dataBar" id="{2171AAE9-6610-4870-ACDF-3D1AA1EC3685}">
            <x14:dataBar minLength="0" maxLength="100" border="1" negativeBarBorderColorSameAsPositive="0">
              <x14:cfvo type="autoMin"/>
              <x14:cfvo type="autoMax"/>
              <x14:borderColor rgb="FF63C384"/>
              <x14:negativeFillColor rgb="FFFF0000"/>
              <x14:negativeBorderColor rgb="FFFF0000"/>
              <x14:axisColor rgb="FF000000"/>
            </x14:dataBar>
          </x14:cfRule>
          <xm:sqref>I70:I1048576</xm:sqref>
        </x14:conditionalFormatting>
        <x14:conditionalFormatting xmlns:xm="http://schemas.microsoft.com/office/excel/2006/main">
          <x14:cfRule type="dataBar" id="{4B17AB28-6D4B-4747-8290-A06B724786DF}">
            <x14:dataBar minLength="0" maxLength="100" border="1" negativeBarBorderColorSameAsPositive="0">
              <x14:cfvo type="autoMin"/>
              <x14:cfvo type="autoMax"/>
              <x14:borderColor rgb="FF63C384"/>
              <x14:negativeFillColor rgb="FFFF0000"/>
              <x14:negativeBorderColor rgb="FFFF0000"/>
              <x14:axisColor rgb="FF000000"/>
            </x14:dataBar>
          </x14:cfRule>
          <xm:sqref>E63:E1048576</xm:sqref>
        </x14:conditionalFormatting>
      </x14:conditionalFormattings>
    </ex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3D02E-2749-4944-9776-338B6B7EE715}">
  <sheetPr codeName="Sheet3"/>
  <dimension ref="F3:G14"/>
  <sheetViews>
    <sheetView showGridLines="0" showRowColHeaders="0" workbookViewId="0">
      <selection activeCell="G14" sqref="G14"/>
    </sheetView>
  </sheetViews>
  <sheetFormatPr defaultRowHeight="14.4" x14ac:dyDescent="0.3"/>
  <cols>
    <col min="2" max="2" width="16.44140625" customWidth="1"/>
    <col min="3" max="3" width="12.77734375" bestFit="1" customWidth="1"/>
    <col min="6" max="6" width="30.88671875" customWidth="1"/>
    <col min="7" max="7" width="25.6640625" customWidth="1"/>
  </cols>
  <sheetData>
    <row r="3" spans="6:7" ht="16.05" customHeight="1" x14ac:dyDescent="0.3"/>
    <row r="5" spans="6:7" x14ac:dyDescent="0.3">
      <c r="F5" s="23"/>
    </row>
    <row r="8" spans="6:7" ht="18" customHeight="1" x14ac:dyDescent="0.3">
      <c r="F8" s="19" t="s">
        <v>190</v>
      </c>
      <c r="G8" s="19" t="s">
        <v>191</v>
      </c>
    </row>
    <row r="9" spans="6:7" ht="21" x14ac:dyDescent="0.3">
      <c r="F9" s="20" t="s">
        <v>1</v>
      </c>
      <c r="G9" s="25"/>
    </row>
    <row r="10" spans="6:7" ht="18" customHeight="1" x14ac:dyDescent="0.3">
      <c r="F10" s="20" t="s">
        <v>6</v>
      </c>
      <c r="G10" s="26"/>
    </row>
    <row r="11" spans="6:7" ht="18" customHeight="1" x14ac:dyDescent="0.3">
      <c r="F11" s="20" t="s">
        <v>4</v>
      </c>
      <c r="G11" s="26"/>
    </row>
    <row r="12" spans="6:7" ht="18" customHeight="1" x14ac:dyDescent="0.3">
      <c r="F12" s="20" t="s">
        <v>2</v>
      </c>
      <c r="G12" s="26"/>
    </row>
    <row r="13" spans="6:7" ht="18" customHeight="1" x14ac:dyDescent="0.3">
      <c r="F13" s="20" t="s">
        <v>166</v>
      </c>
      <c r="G13" s="26"/>
    </row>
    <row r="14" spans="6:7" ht="18" customHeight="1" x14ac:dyDescent="0.3">
      <c r="F14" s="20" t="s">
        <v>3</v>
      </c>
      <c r="G14" s="26"/>
    </row>
  </sheetData>
  <sheetProtection sheet="1" objects="1" scenarios="1" selectLockedCells="1"/>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151AFA9D-AB08-4389-815F-8E066C30FA51}">
          <x14:formula1>
            <xm:f>'stock master'!$C$2:$C$51</xm:f>
          </x14:formula1>
          <xm:sqref>G10</xm:sqref>
        </x14:dataValidation>
        <x14:dataValidation type="list" allowBlank="1" showInputMessage="1" showErrorMessage="1" xr:uid="{E141BD20-E0DE-4950-84DD-3075C6D486FC}">
          <x14:formula1>
            <xm:f>'stock master'!$AB$3:$AB$7</xm:f>
          </x14:formula1>
          <xm:sqref>G14</xm:sqref>
        </x14:dataValidation>
        <x14:dataValidation type="list" allowBlank="1" showInputMessage="1" showErrorMessage="1" xr:uid="{2E7860F2-FB81-420D-918C-60C48DC363AA}">
          <x14:formula1>
            <xm:f>'stock master'!$AC$3:$AC$4</xm:f>
          </x14:formula1>
          <xm:sqref>G11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726F-21BA-45D8-B5A9-734B566F1C23}">
  <sheetPr codeName="Sheet4"/>
  <dimension ref="A1:I11"/>
  <sheetViews>
    <sheetView workbookViewId="0">
      <selection activeCell="I18" sqref="I18"/>
    </sheetView>
  </sheetViews>
  <sheetFormatPr defaultRowHeight="14.4" x14ac:dyDescent="0.3"/>
  <cols>
    <col min="1" max="1" width="14.88671875" customWidth="1"/>
    <col min="2" max="5" width="14.77734375" customWidth="1"/>
    <col min="6" max="6" width="15.44140625" customWidth="1"/>
    <col min="7" max="9" width="14.77734375" customWidth="1"/>
    <col min="10" max="16384" width="8.88671875" style="34"/>
  </cols>
  <sheetData>
    <row r="1" spans="1:9" s="33" customFormat="1" x14ac:dyDescent="0.3">
      <c r="A1" s="1" t="s">
        <v>0</v>
      </c>
      <c r="B1" s="1" t="s">
        <v>1</v>
      </c>
      <c r="C1" s="1" t="s">
        <v>6</v>
      </c>
      <c r="D1" s="1" t="s">
        <v>4</v>
      </c>
      <c r="E1" s="1" t="s">
        <v>2</v>
      </c>
      <c r="F1" s="1" t="s">
        <v>166</v>
      </c>
      <c r="G1" s="1" t="s">
        <v>157</v>
      </c>
      <c r="H1" s="1" t="s">
        <v>176</v>
      </c>
      <c r="I1" s="1" t="s">
        <v>3</v>
      </c>
    </row>
    <row r="2" spans="1:9" x14ac:dyDescent="0.3">
      <c r="A2" s="35" t="s">
        <v>167</v>
      </c>
      <c r="B2" s="40">
        <v>46027</v>
      </c>
      <c r="C2" s="35" t="s">
        <v>89</v>
      </c>
      <c r="D2" s="35" t="s">
        <v>168</v>
      </c>
      <c r="E2" s="35">
        <v>10</v>
      </c>
      <c r="F2" s="35">
        <v>1780</v>
      </c>
      <c r="G2" s="35">
        <v>20</v>
      </c>
      <c r="H2" s="35">
        <f>IF(tblTransactions[[#This Row],[Buy/Sell]]="Buy",
(tblTransactions[[#This Row],[Quantity]]*tblTransactions[[#This Row],[Price/Share]])+tblTransactions[[#This Row],[Charges]],
(tblTransactions[[#This Row],[Quantity]]*tblTransactions[[#This Row],[Price/Share]])-tblTransactions[[#This Row],[Charges]])</f>
        <v>17820</v>
      </c>
      <c r="I2" s="35" t="s">
        <v>169</v>
      </c>
    </row>
    <row r="3" spans="1:9" x14ac:dyDescent="0.3">
      <c r="A3" s="35" t="s">
        <v>170</v>
      </c>
      <c r="B3" s="40">
        <v>46031</v>
      </c>
      <c r="C3" s="35" t="s">
        <v>131</v>
      </c>
      <c r="D3" s="35" t="s">
        <v>168</v>
      </c>
      <c r="E3" s="35">
        <v>5</v>
      </c>
      <c r="F3" s="35">
        <v>3950</v>
      </c>
      <c r="G3" s="35">
        <v>20</v>
      </c>
      <c r="H3" s="35">
        <f>IF(tblTransactions[[#This Row],[Buy/Sell]]="Buy",
(tblTransactions[[#This Row],[Quantity]]*tblTransactions[[#This Row],[Price/Share]])+tblTransactions[[#This Row],[Charges]],
(tblTransactions[[#This Row],[Quantity]]*tblTransactions[[#This Row],[Price/Share]])-tblTransactions[[#This Row],[Charges]])</f>
        <v>19770</v>
      </c>
      <c r="I3" s="35" t="s">
        <v>169</v>
      </c>
    </row>
    <row r="4" spans="1:9" x14ac:dyDescent="0.3">
      <c r="A4" s="35" t="s">
        <v>171</v>
      </c>
      <c r="B4" s="40">
        <v>46037</v>
      </c>
      <c r="C4" s="35" t="s">
        <v>71</v>
      </c>
      <c r="D4" s="35" t="s">
        <v>168</v>
      </c>
      <c r="E4" s="35">
        <v>8</v>
      </c>
      <c r="F4" s="35">
        <v>1680</v>
      </c>
      <c r="G4" s="35">
        <v>20</v>
      </c>
      <c r="H4" s="35">
        <f>IF(tblTransactions[[#This Row],[Buy/Sell]]="Buy",
(tblTransactions[[#This Row],[Quantity]]*tblTransactions[[#This Row],[Price/Share]])+tblTransactions[[#This Row],[Charges]],
(tblTransactions[[#This Row],[Quantity]]*tblTransactions[[#This Row],[Price/Share]])-tblTransactions[[#This Row],[Charges]])</f>
        <v>13460</v>
      </c>
      <c r="I4" s="35" t="s">
        <v>172</v>
      </c>
    </row>
    <row r="5" spans="1:9" x14ac:dyDescent="0.3">
      <c r="A5" s="35" t="s">
        <v>173</v>
      </c>
      <c r="B5" s="40">
        <v>46044</v>
      </c>
      <c r="C5" s="35" t="s">
        <v>14</v>
      </c>
      <c r="D5" s="35" t="s">
        <v>168</v>
      </c>
      <c r="E5" s="35">
        <v>6</v>
      </c>
      <c r="F5" s="35">
        <v>1150</v>
      </c>
      <c r="G5" s="35">
        <v>20</v>
      </c>
      <c r="H5" s="35">
        <f>IF(tblTransactions[[#This Row],[Buy/Sell]]="Buy",
(tblTransactions[[#This Row],[Quantity]]*tblTransactions[[#This Row],[Price/Share]])+tblTransactions[[#This Row],[Charges]],
(tblTransactions[[#This Row],[Quantity]]*tblTransactions[[#This Row],[Price/Share]])-tblTransactions[[#This Row],[Charges]])</f>
        <v>6920</v>
      </c>
      <c r="I5" s="35" t="s">
        <v>169</v>
      </c>
    </row>
    <row r="6" spans="1:9" x14ac:dyDescent="0.3">
      <c r="A6" s="35" t="s">
        <v>174</v>
      </c>
      <c r="B6" s="40">
        <v>46057</v>
      </c>
      <c r="C6" s="35" t="s">
        <v>22</v>
      </c>
      <c r="D6" s="35" t="s">
        <v>168</v>
      </c>
      <c r="E6" s="35">
        <v>5</v>
      </c>
      <c r="F6" s="35">
        <v>2750</v>
      </c>
      <c r="G6" s="35">
        <v>20</v>
      </c>
      <c r="H6" s="35">
        <f>IF(tblTransactions[[#This Row],[Buy/Sell]]="Buy",
(tblTransactions[[#This Row],[Quantity]]*tblTransactions[[#This Row],[Price/Share]])+tblTransactions[[#This Row],[Charges]],
(tblTransactions[[#This Row],[Quantity]]*tblTransactions[[#This Row],[Price/Share]])-tblTransactions[[#This Row],[Charges]])</f>
        <v>13770</v>
      </c>
      <c r="I6" s="35" t="s">
        <v>172</v>
      </c>
    </row>
    <row r="7" spans="1:9" x14ac:dyDescent="0.3">
      <c r="A7" s="35" t="s">
        <v>202</v>
      </c>
      <c r="B7" s="40">
        <v>46071</v>
      </c>
      <c r="C7" s="35" t="s">
        <v>18</v>
      </c>
      <c r="D7" s="35" t="s">
        <v>168</v>
      </c>
      <c r="E7" s="35">
        <v>3</v>
      </c>
      <c r="F7" s="35">
        <v>6900</v>
      </c>
      <c r="G7" s="35">
        <v>20</v>
      </c>
      <c r="H7" s="35">
        <f>IF(tblTransactions[[#This Row],[Buy/Sell]]="Buy",
(tblTransactions[[#This Row],[Quantity]]*tblTransactions[[#This Row],[Price/Share]])+tblTransactions[[#This Row],[Charges]],
(tblTransactions[[#This Row],[Quantity]]*tblTransactions[[#This Row],[Price/Share]])-tblTransactions[[#This Row],[Charges]])</f>
        <v>20720</v>
      </c>
      <c r="I7" t="s">
        <v>169</v>
      </c>
    </row>
    <row r="8" spans="1:9" x14ac:dyDescent="0.3">
      <c r="A8" s="35" t="s">
        <v>210</v>
      </c>
      <c r="B8" s="40">
        <v>46084</v>
      </c>
      <c r="C8" s="35" t="s">
        <v>89</v>
      </c>
      <c r="D8" s="35" t="s">
        <v>168</v>
      </c>
      <c r="E8" s="35">
        <v>5</v>
      </c>
      <c r="F8" s="35">
        <v>1850</v>
      </c>
      <c r="G8" s="35">
        <v>20</v>
      </c>
      <c r="H8" s="35">
        <f>IF(tblTransactions[[#This Row],[Buy/Sell]]="Buy",
(tblTransactions[[#This Row],[Quantity]]*tblTransactions[[#This Row],[Price/Share]])+tblTransactions[[#This Row],[Charges]],
(tblTransactions[[#This Row],[Quantity]]*tblTransactions[[#This Row],[Price/Share]])-tblTransactions[[#This Row],[Charges]])</f>
        <v>9270</v>
      </c>
      <c r="I8" t="s">
        <v>169</v>
      </c>
    </row>
    <row r="9" spans="1:9" x14ac:dyDescent="0.3">
      <c r="A9" s="35" t="s">
        <v>211</v>
      </c>
      <c r="B9" s="40">
        <v>46095</v>
      </c>
      <c r="C9" s="35" t="s">
        <v>71</v>
      </c>
      <c r="D9" s="35" t="s">
        <v>168</v>
      </c>
      <c r="E9" s="35">
        <v>4</v>
      </c>
      <c r="F9" s="35">
        <v>1725</v>
      </c>
      <c r="G9" s="35">
        <v>20</v>
      </c>
      <c r="H9" s="35">
        <f>IF(tblTransactions[[#This Row],[Buy/Sell]]="Buy",
(tblTransactions[[#This Row],[Quantity]]*tblTransactions[[#This Row],[Price/Share]])+tblTransactions[[#This Row],[Charges]],
(tblTransactions[[#This Row],[Quantity]]*tblTransactions[[#This Row],[Price/Share]])-tblTransactions[[#This Row],[Charges]])</f>
        <v>6920</v>
      </c>
      <c r="I9" t="s">
        <v>169</v>
      </c>
    </row>
    <row r="10" spans="1:9" x14ac:dyDescent="0.3">
      <c r="A10" s="35" t="s">
        <v>212</v>
      </c>
      <c r="B10" s="40">
        <v>46137</v>
      </c>
      <c r="C10" s="35" t="s">
        <v>14</v>
      </c>
      <c r="D10" s="35" t="s">
        <v>168</v>
      </c>
      <c r="E10" s="35">
        <v>3</v>
      </c>
      <c r="F10" s="35">
        <v>1220</v>
      </c>
      <c r="G10" s="35">
        <v>20</v>
      </c>
      <c r="H10" s="35">
        <f>IF(tblTransactions[[#This Row],[Buy/Sell]]="Buy",
(tblTransactions[[#This Row],[Quantity]]*tblTransactions[[#This Row],[Price/Share]])+tblTransactions[[#This Row],[Charges]],
(tblTransactions[[#This Row],[Quantity]]*tblTransactions[[#This Row],[Price/Share]])-tblTransactions[[#This Row],[Charges]])</f>
        <v>3680</v>
      </c>
      <c r="I10" t="s">
        <v>169</v>
      </c>
    </row>
    <row r="11" spans="1:9" x14ac:dyDescent="0.3">
      <c r="A11" s="35" t="s">
        <v>213</v>
      </c>
      <c r="B11" s="40">
        <v>46152</v>
      </c>
      <c r="C11" s="35" t="s">
        <v>131</v>
      </c>
      <c r="D11" s="35" t="s">
        <v>175</v>
      </c>
      <c r="E11" s="35">
        <v>2</v>
      </c>
      <c r="F11" s="35">
        <v>4150</v>
      </c>
      <c r="G11" s="35">
        <v>20</v>
      </c>
      <c r="H11" s="35">
        <f>IF(tblTransactions[[#This Row],[Buy/Sell]]="Buy",
(tblTransactions[[#This Row],[Quantity]]*tblTransactions[[#This Row],[Price/Share]])+tblTransactions[[#This Row],[Charges]],
(tblTransactions[[#This Row],[Quantity]]*tblTransactions[[#This Row],[Price/Share]])-tblTransactions[[#This Row],[Charges]])</f>
        <v>8280</v>
      </c>
      <c r="I11" t="s">
        <v>169</v>
      </c>
    </row>
  </sheetData>
  <sheetProtection selectLockedCells="1"/>
  <phoneticPr fontId="10" type="noConversion"/>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CB446EE-5DDD-4C8F-AB41-CC9239F7E197}">
          <x14:formula1>
            <xm:f>'stock master'!$C$2:$C$51</xm:f>
          </x14:formula1>
          <xm:sqref>C12:C1048576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92EEB-9B28-4645-81A0-A35C3139A130}">
  <sheetPr codeName="Sheet7"/>
  <dimension ref="A1:N51"/>
  <sheetViews>
    <sheetView workbookViewId="0">
      <selection activeCell="G25" sqref="G25"/>
    </sheetView>
  </sheetViews>
  <sheetFormatPr defaultRowHeight="14.4" x14ac:dyDescent="0.3"/>
  <cols>
    <col min="1" max="1" width="13.5546875" bestFit="1" customWidth="1"/>
    <col min="3" max="3" width="12.109375" customWidth="1"/>
    <col min="4" max="4" width="13.21875" customWidth="1"/>
    <col min="6" max="6" width="10.88671875" customWidth="1"/>
    <col min="7" max="7" width="8.88671875" style="4"/>
    <col min="9" max="9" width="15.6640625" bestFit="1" customWidth="1"/>
    <col min="10" max="10" width="21.5546875" customWidth="1"/>
  </cols>
  <sheetData>
    <row r="1" spans="1:14" ht="18" x14ac:dyDescent="0.3">
      <c r="A1" s="2" t="s">
        <v>6</v>
      </c>
      <c r="H1" s="2" t="s">
        <v>196</v>
      </c>
      <c r="I1" s="17" t="s">
        <v>177</v>
      </c>
      <c r="J1" s="6" t="s">
        <v>178</v>
      </c>
    </row>
    <row r="2" spans="1:14" x14ac:dyDescent="0.3">
      <c r="A2" t="str" cm="1">
        <f t="array" ref="A2:A51">tblStocks[Symbol]</f>
        <v>ADANIENT</v>
      </c>
      <c r="H2" s="16">
        <f>SUM(D:D)</f>
        <v>0</v>
      </c>
      <c r="I2" s="16">
        <f>SUMPRODUCT(B:B,E:E)</f>
        <v>0</v>
      </c>
      <c r="J2" s="16">
        <f>Calculations!H2-Calculations!I2</f>
        <v>0</v>
      </c>
      <c r="K2" s="24" t="str">
        <f>IF(J2&gt;=0,"▲ ","▼ ")&amp;TEXT(ABS(J2),"₹#,##0")</f>
        <v>▲ ₹0</v>
      </c>
      <c r="L2" s="16">
        <f>J2</f>
        <v>0</v>
      </c>
      <c r="M2" t="str">
        <f>IF(J2&gt;=0,"▲ ","▼ ")&amp;TEXT(ABS(J2),"₹#,##0")</f>
        <v>▲ ₹0</v>
      </c>
      <c r="N2" t="str">
        <f>IF(J2&gt;=0,"▲ "&amp;TEXT(J2,"₹#,##0"),"▼ "&amp;TEXT(J2,"₹#,##0"))</f>
        <v>▲ ₹0</v>
      </c>
    </row>
    <row r="3" spans="1:14" x14ac:dyDescent="0.3">
      <c r="A3" t="str">
        <v>ADANIPORTS</v>
      </c>
    </row>
    <row r="4" spans="1:14" x14ac:dyDescent="0.3">
      <c r="A4" t="str">
        <v>APOLLOHOSP</v>
      </c>
    </row>
    <row r="5" spans="1:14" x14ac:dyDescent="0.3">
      <c r="A5" t="str">
        <v>ASIANPAINT</v>
      </c>
    </row>
    <row r="6" spans="1:14" x14ac:dyDescent="0.3">
      <c r="A6" t="str">
        <v>AXISBANK</v>
      </c>
      <c r="J6">
        <v>-90</v>
      </c>
    </row>
    <row r="7" spans="1:14" x14ac:dyDescent="0.3">
      <c r="A7" t="str">
        <v>BAJAJ-AUTO</v>
      </c>
    </row>
    <row r="8" spans="1:14" x14ac:dyDescent="0.3">
      <c r="A8" t="str">
        <v>BAJFINANCE</v>
      </c>
    </row>
    <row r="9" spans="1:14" x14ac:dyDescent="0.3">
      <c r="A9" t="str">
        <v>BAJAJFINSV</v>
      </c>
    </row>
    <row r="10" spans="1:14" x14ac:dyDescent="0.3">
      <c r="A10" t="str">
        <v>BEL</v>
      </c>
    </row>
    <row r="11" spans="1:14" x14ac:dyDescent="0.3">
      <c r="A11" t="str">
        <v>BPCL</v>
      </c>
    </row>
    <row r="12" spans="1:14" x14ac:dyDescent="0.3">
      <c r="A12" t="str">
        <v>BHARTIARTL</v>
      </c>
    </row>
    <row r="13" spans="1:14" x14ac:dyDescent="0.3">
      <c r="A13" t="str">
        <v>BRITANNIA</v>
      </c>
    </row>
    <row r="14" spans="1:14" x14ac:dyDescent="0.3">
      <c r="A14" t="str">
        <v>CIPLA</v>
      </c>
    </row>
    <row r="15" spans="1:14" x14ac:dyDescent="0.3">
      <c r="A15" t="str">
        <v>COALINDIA</v>
      </c>
      <c r="L15">
        <v>56</v>
      </c>
    </row>
    <row r="16" spans="1:14" x14ac:dyDescent="0.3">
      <c r="A16" t="str">
        <v>DRREDDY</v>
      </c>
    </row>
    <row r="17" spans="1:1" x14ac:dyDescent="0.3">
      <c r="A17" t="str">
        <v>EICHERMOT</v>
      </c>
    </row>
    <row r="18" spans="1:1" x14ac:dyDescent="0.3">
      <c r="A18" t="str">
        <v>GRASIM</v>
      </c>
    </row>
    <row r="19" spans="1:1" x14ac:dyDescent="0.3">
      <c r="A19" t="str">
        <v>HCLTECH</v>
      </c>
    </row>
    <row r="20" spans="1:1" x14ac:dyDescent="0.3">
      <c r="A20" t="str">
        <v>HDFCBANK</v>
      </c>
    </row>
    <row r="21" spans="1:1" x14ac:dyDescent="0.3">
      <c r="A21" t="str">
        <v>HDFCLIFE</v>
      </c>
    </row>
    <row r="22" spans="1:1" x14ac:dyDescent="0.3">
      <c r="A22" t="str">
        <v>HEROMOTOCO</v>
      </c>
    </row>
    <row r="23" spans="1:1" x14ac:dyDescent="0.3">
      <c r="A23" t="str">
        <v>HINDALCO</v>
      </c>
    </row>
    <row r="24" spans="1:1" x14ac:dyDescent="0.3">
      <c r="A24" t="str">
        <v>HINDUNILVR</v>
      </c>
    </row>
    <row r="25" spans="1:1" x14ac:dyDescent="0.3">
      <c r="A25" t="str">
        <v>ICICIBANK</v>
      </c>
    </row>
    <row r="26" spans="1:1" x14ac:dyDescent="0.3">
      <c r="A26" t="str">
        <v>INDUSINDBK</v>
      </c>
    </row>
    <row r="27" spans="1:1" x14ac:dyDescent="0.3">
      <c r="A27" t="str">
        <v>INFY</v>
      </c>
    </row>
    <row r="28" spans="1:1" x14ac:dyDescent="0.3">
      <c r="A28" t="str">
        <v>ITC</v>
      </c>
    </row>
    <row r="29" spans="1:1" x14ac:dyDescent="0.3">
      <c r="A29" t="str">
        <v>JSWSTEEL</v>
      </c>
    </row>
    <row r="30" spans="1:1" x14ac:dyDescent="0.3">
      <c r="A30" t="str">
        <v>KOTAKBANK</v>
      </c>
    </row>
    <row r="31" spans="1:1" x14ac:dyDescent="0.3">
      <c r="A31" t="str">
        <v>LT</v>
      </c>
    </row>
    <row r="32" spans="1:1" x14ac:dyDescent="0.3">
      <c r="A32" t="str">
        <v>M&amp;M</v>
      </c>
    </row>
    <row r="33" spans="1:1" x14ac:dyDescent="0.3">
      <c r="A33" t="str">
        <v>MARUTI</v>
      </c>
    </row>
    <row r="34" spans="1:1" x14ac:dyDescent="0.3">
      <c r="A34" t="str">
        <v>NESTLEIND</v>
      </c>
    </row>
    <row r="35" spans="1:1" x14ac:dyDescent="0.3">
      <c r="A35" t="str">
        <v>NTPC</v>
      </c>
    </row>
    <row r="36" spans="1:1" x14ac:dyDescent="0.3">
      <c r="A36" t="str">
        <v>ONGC</v>
      </c>
    </row>
    <row r="37" spans="1:1" x14ac:dyDescent="0.3">
      <c r="A37" t="str">
        <v>POWERGRID</v>
      </c>
    </row>
    <row r="38" spans="1:1" x14ac:dyDescent="0.3">
      <c r="A38" t="str">
        <v>RELIANCE</v>
      </c>
    </row>
    <row r="39" spans="1:1" x14ac:dyDescent="0.3">
      <c r="A39" t="str">
        <v>SBILIFE</v>
      </c>
    </row>
    <row r="40" spans="1:1" x14ac:dyDescent="0.3">
      <c r="A40" t="str">
        <v>SHRIRAMFIN</v>
      </c>
    </row>
    <row r="41" spans="1:1" x14ac:dyDescent="0.3">
      <c r="A41" t="str">
        <v>SBIN</v>
      </c>
    </row>
    <row r="42" spans="1:1" x14ac:dyDescent="0.3">
      <c r="A42" t="str">
        <v>SUNPHARMA</v>
      </c>
    </row>
    <row r="43" spans="1:1" x14ac:dyDescent="0.3">
      <c r="A43" t="str">
        <v>TCS</v>
      </c>
    </row>
    <row r="44" spans="1:1" x14ac:dyDescent="0.3">
      <c r="A44" t="str">
        <v>TATACONSUM</v>
      </c>
    </row>
    <row r="45" spans="1:1" x14ac:dyDescent="0.3">
      <c r="A45" t="str">
        <v>TATAMOTORS</v>
      </c>
    </row>
    <row r="46" spans="1:1" x14ac:dyDescent="0.3">
      <c r="A46" t="str">
        <v>TATASTEEL</v>
      </c>
    </row>
    <row r="47" spans="1:1" x14ac:dyDescent="0.3">
      <c r="A47" t="str">
        <v>TECHM</v>
      </c>
    </row>
    <row r="48" spans="1:1" x14ac:dyDescent="0.3">
      <c r="A48" t="str">
        <v>TITAN</v>
      </c>
    </row>
    <row r="49" spans="1:1" x14ac:dyDescent="0.3">
      <c r="A49" t="str">
        <v>TRENT</v>
      </c>
    </row>
    <row r="50" spans="1:1" x14ac:dyDescent="0.3">
      <c r="A50" t="str">
        <v>ULTRACEMCO</v>
      </c>
    </row>
    <row r="51" spans="1:1" x14ac:dyDescent="0.3">
      <c r="A51" t="str">
        <v>WIPRO</v>
      </c>
    </row>
  </sheetData>
  <conditionalFormatting sqref="J6">
    <cfRule type="cellIs" dxfId="29" priority="3" operator="lessThan">
      <formula>0</formula>
    </cfRule>
    <cfRule type="cellIs" dxfId="28" priority="4" operator="greaterThan">
      <formula>0</formula>
    </cfRule>
  </conditionalFormatting>
  <conditionalFormatting sqref="K2">
    <cfRule type="expression" dxfId="27" priority="1">
      <formula>$J2&lt;0</formula>
    </cfRule>
    <cfRule type="expression" dxfId="26" priority="2">
      <formula>$J2&gt;=0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C09E1-FDC3-4B82-8B65-88E42C30ED47}">
  <sheetPr codeName="Sheet2"/>
  <dimension ref="B2:AR24"/>
  <sheetViews>
    <sheetView topLeftCell="W1" zoomScale="99" workbookViewId="0">
      <selection activeCell="G25" sqref="G25"/>
    </sheetView>
  </sheetViews>
  <sheetFormatPr defaultRowHeight="14.4" x14ac:dyDescent="0.3"/>
  <cols>
    <col min="2" max="2" width="12.5546875" bestFit="1" customWidth="1"/>
    <col min="3" max="3" width="13.33203125" bestFit="1" customWidth="1"/>
    <col min="5" max="5" width="21.6640625" bestFit="1" customWidth="1"/>
    <col min="6" max="6" width="8.21875" bestFit="1" customWidth="1"/>
    <col min="7" max="7" width="11.21875" bestFit="1" customWidth="1"/>
    <col min="8" max="8" width="13.33203125" bestFit="1" customWidth="1"/>
    <col min="9" max="9" width="13.6640625" bestFit="1" customWidth="1"/>
    <col min="11" max="11" width="12.5546875" bestFit="1" customWidth="1"/>
    <col min="12" max="12" width="13.6640625" bestFit="1" customWidth="1"/>
    <col min="13" max="13" width="14.88671875" bestFit="1" customWidth="1"/>
    <col min="15" max="15" width="8.21875" bestFit="1" customWidth="1"/>
    <col min="16" max="16" width="20.88671875" bestFit="1" customWidth="1"/>
    <col min="17" max="17" width="11.21875" bestFit="1" customWidth="1"/>
    <col min="19" max="19" width="12.5546875" bestFit="1" customWidth="1"/>
    <col min="20" max="20" width="8.21875" bestFit="1" customWidth="1"/>
    <col min="22" max="22" width="12.5546875" bestFit="1" customWidth="1"/>
    <col min="23" max="23" width="14.77734375" bestFit="1" customWidth="1"/>
    <col min="25" max="25" width="12.5546875" bestFit="1" customWidth="1"/>
    <col min="26" max="26" width="14.77734375" bestFit="1" customWidth="1"/>
    <col min="28" max="28" width="12.5546875" bestFit="1" customWidth="1"/>
    <col min="29" max="29" width="19.44140625" bestFit="1" customWidth="1"/>
    <col min="30" max="30" width="14.6640625" bestFit="1" customWidth="1"/>
    <col min="31" max="31" width="12.6640625" bestFit="1" customWidth="1"/>
    <col min="32" max="32" width="9.5546875" bestFit="1" customWidth="1"/>
    <col min="33" max="33" width="9.21875" bestFit="1" customWidth="1"/>
    <col min="35" max="35" width="12.5546875" bestFit="1" customWidth="1"/>
    <col min="36" max="36" width="8.21875" bestFit="1" customWidth="1"/>
    <col min="37" max="37" width="11.21875" bestFit="1" customWidth="1"/>
    <col min="38" max="38" width="16.77734375" bestFit="1" customWidth="1"/>
    <col min="39" max="39" width="14" bestFit="1" customWidth="1"/>
    <col min="41" max="41" width="12.88671875" bestFit="1" customWidth="1"/>
    <col min="43" max="43" width="12.5546875" bestFit="1" customWidth="1"/>
  </cols>
  <sheetData>
    <row r="2" spans="2:44" x14ac:dyDescent="0.3">
      <c r="B2" t="s">
        <v>186</v>
      </c>
      <c r="E2" t="s">
        <v>187</v>
      </c>
      <c r="L2" t="s">
        <v>188</v>
      </c>
      <c r="O2">
        <v>1</v>
      </c>
    </row>
    <row r="3" spans="2:44" x14ac:dyDescent="0.3">
      <c r="B3" s="9" t="s">
        <v>179</v>
      </c>
      <c r="C3" t="s">
        <v>160</v>
      </c>
      <c r="E3" s="9" t="s">
        <v>179</v>
      </c>
      <c r="F3" t="s">
        <v>160</v>
      </c>
      <c r="H3" t="s">
        <v>195</v>
      </c>
      <c r="L3" s="9" t="s">
        <v>179</v>
      </c>
      <c r="M3" t="s">
        <v>181</v>
      </c>
      <c r="O3" t="s">
        <v>160</v>
      </c>
      <c r="P3" t="s">
        <v>182</v>
      </c>
      <c r="Q3" t="s">
        <v>183</v>
      </c>
      <c r="S3" t="s">
        <v>189</v>
      </c>
      <c r="V3" t="s">
        <v>204</v>
      </c>
      <c r="Y3" t="s">
        <v>205</v>
      </c>
      <c r="AB3" t="s">
        <v>197</v>
      </c>
      <c r="AE3" t="s">
        <v>199</v>
      </c>
      <c r="AI3" s="27" t="s">
        <v>208</v>
      </c>
      <c r="AM3" t="s">
        <v>215</v>
      </c>
      <c r="AO3" t="s">
        <v>216</v>
      </c>
      <c r="AQ3" t="s">
        <v>217</v>
      </c>
    </row>
    <row r="4" spans="2:44" x14ac:dyDescent="0.3">
      <c r="B4" s="10" t="s">
        <v>23</v>
      </c>
      <c r="C4">
        <v>5</v>
      </c>
      <c r="E4" s="10" t="s">
        <v>22</v>
      </c>
      <c r="F4">
        <v>5</v>
      </c>
      <c r="H4" t="s">
        <v>195</v>
      </c>
      <c r="L4" s="10" t="s">
        <v>203</v>
      </c>
      <c r="O4">
        <v>15</v>
      </c>
      <c r="P4">
        <v>41860</v>
      </c>
      <c r="Q4">
        <v>5</v>
      </c>
      <c r="S4" s="9" t="s">
        <v>179</v>
      </c>
      <c r="T4" t="s">
        <v>160</v>
      </c>
      <c r="V4" s="9" t="s">
        <v>179</v>
      </c>
      <c r="W4" t="s">
        <v>220</v>
      </c>
      <c r="Y4" s="9" t="s">
        <v>179</v>
      </c>
      <c r="Z4" t="s">
        <v>220</v>
      </c>
      <c r="AB4" s="9" t="s">
        <v>179</v>
      </c>
      <c r="AC4" t="s">
        <v>222</v>
      </c>
      <c r="AE4" s="9" t="s">
        <v>179</v>
      </c>
      <c r="AF4" t="s">
        <v>200</v>
      </c>
      <c r="AG4" t="s">
        <v>201</v>
      </c>
      <c r="AI4" s="27" t="str">
        <f ca="1">"Last Updated: "&amp;TEXT(NOW(),"dd-mmm-yyyy hh:mm AM/PM")</f>
        <v>Last Updated: 03-Jul-2026 04:08 PM</v>
      </c>
      <c r="AM4" t="s">
        <v>219</v>
      </c>
      <c r="AO4" t="s">
        <v>177</v>
      </c>
      <c r="AQ4" t="s">
        <v>218</v>
      </c>
    </row>
    <row r="5" spans="2:44" x14ac:dyDescent="0.3">
      <c r="B5" s="10" t="s">
        <v>27</v>
      </c>
      <c r="C5">
        <v>4</v>
      </c>
      <c r="E5" s="10" t="s">
        <v>89</v>
      </c>
      <c r="F5">
        <v>5</v>
      </c>
      <c r="H5" s="15">
        <v>-0.26101137043686418</v>
      </c>
      <c r="L5" s="11">
        <v>46057</v>
      </c>
      <c r="M5">
        <v>5</v>
      </c>
      <c r="S5" s="10" t="s">
        <v>14</v>
      </c>
      <c r="T5">
        <v>3</v>
      </c>
      <c r="V5" s="10" t="s">
        <v>14</v>
      </c>
      <c r="W5" s="42">
        <v>103.15640566037737</v>
      </c>
      <c r="Y5" s="10" t="s">
        <v>18</v>
      </c>
      <c r="Z5" s="42">
        <v>16.761549227799229</v>
      </c>
      <c r="AB5" s="10" t="s">
        <v>198</v>
      </c>
      <c r="AE5" s="10" t="s">
        <v>198</v>
      </c>
      <c r="AM5">
        <v>-16616</v>
      </c>
      <c r="AN5" t="str">
        <f>IF(AM5&gt;=0,"▲ "&amp;TEXT(AM5,"₹#,##0"),"▼ "&amp;TEXT(AM5,"₹#,##0"))</f>
        <v>▼ -₹16,616</v>
      </c>
      <c r="AO5">
        <v>104250</v>
      </c>
      <c r="AP5" s="16">
        <f>GETPIVOTDATA("[Measures].[Total Invested]",$AO$4)</f>
        <v>104250</v>
      </c>
      <c r="AQ5">
        <v>87634</v>
      </c>
      <c r="AR5" s="16">
        <f>GETPIVOTDATA("[Measures].[Portfolio Valu]",$AQ$4)</f>
        <v>87634</v>
      </c>
    </row>
    <row r="6" spans="2:44" x14ac:dyDescent="0.3">
      <c r="B6" s="10" t="s">
        <v>68</v>
      </c>
      <c r="C6">
        <v>3</v>
      </c>
      <c r="E6" s="10" t="s">
        <v>71</v>
      </c>
      <c r="F6">
        <v>4</v>
      </c>
      <c r="L6" s="10" t="s">
        <v>207</v>
      </c>
      <c r="S6" s="10" t="s">
        <v>22</v>
      </c>
      <c r="T6">
        <v>5</v>
      </c>
      <c r="V6" s="10" t="s">
        <v>18</v>
      </c>
      <c r="W6" s="42">
        <v>16.761549227799229</v>
      </c>
      <c r="Y6" s="10" t="s">
        <v>131</v>
      </c>
      <c r="Z6" s="42">
        <v>30.02506322711179</v>
      </c>
      <c r="AB6" s="21" t="s">
        <v>221</v>
      </c>
      <c r="AC6">
        <v>57970</v>
      </c>
      <c r="AE6" s="21" t="s">
        <v>207</v>
      </c>
      <c r="AF6">
        <v>16190</v>
      </c>
      <c r="AI6" s="36" t="s">
        <v>179</v>
      </c>
      <c r="AJ6" s="37" t="s">
        <v>160</v>
      </c>
      <c r="AK6" s="37" t="s">
        <v>183</v>
      </c>
      <c r="AL6" s="37" t="s">
        <v>206</v>
      </c>
    </row>
    <row r="7" spans="2:44" x14ac:dyDescent="0.3">
      <c r="B7" s="10" t="s">
        <v>15</v>
      </c>
      <c r="C7">
        <v>3</v>
      </c>
      <c r="E7" s="10" t="s">
        <v>14</v>
      </c>
      <c r="F7">
        <v>3</v>
      </c>
      <c r="L7" s="11">
        <v>46084</v>
      </c>
      <c r="M7">
        <v>5</v>
      </c>
      <c r="S7" s="10" t="s">
        <v>71</v>
      </c>
      <c r="T7">
        <v>4</v>
      </c>
      <c r="V7" s="10" t="s">
        <v>22</v>
      </c>
      <c r="W7" s="42">
        <v>43.543609295570079</v>
      </c>
      <c r="Y7" s="10" t="s">
        <v>22</v>
      </c>
      <c r="Z7" s="42">
        <v>43.543609295570079</v>
      </c>
      <c r="AB7" s="21" t="s">
        <v>203</v>
      </c>
      <c r="AC7">
        <v>34490</v>
      </c>
      <c r="AE7" s="21" t="s">
        <v>203</v>
      </c>
      <c r="AF7">
        <v>13770</v>
      </c>
      <c r="AI7" s="38" t="s">
        <v>22</v>
      </c>
      <c r="AJ7" s="37">
        <v>5</v>
      </c>
      <c r="AK7" s="37">
        <v>1</v>
      </c>
      <c r="AL7" s="39">
        <v>0.33333333333333331</v>
      </c>
    </row>
    <row r="8" spans="2:44" x14ac:dyDescent="0.3">
      <c r="B8" s="10" t="s">
        <v>180</v>
      </c>
      <c r="C8">
        <v>15</v>
      </c>
      <c r="E8" s="10" t="s">
        <v>131</v>
      </c>
      <c r="F8">
        <v>-2</v>
      </c>
      <c r="L8" s="11">
        <v>46095</v>
      </c>
      <c r="M8">
        <v>4</v>
      </c>
      <c r="S8" s="10" t="s">
        <v>89</v>
      </c>
      <c r="T8">
        <v>5</v>
      </c>
      <c r="V8" s="10" t="s">
        <v>71</v>
      </c>
      <c r="W8" s="42">
        <v>71.231462217860653</v>
      </c>
      <c r="Y8" s="10" t="s">
        <v>89</v>
      </c>
      <c r="Z8" s="42">
        <v>66.925304540420825</v>
      </c>
      <c r="AB8" s="21" t="s">
        <v>207</v>
      </c>
      <c r="AC8">
        <v>16190</v>
      </c>
      <c r="AE8" s="21" t="s">
        <v>209</v>
      </c>
      <c r="AF8">
        <v>3680</v>
      </c>
      <c r="AI8" s="38" t="s">
        <v>89</v>
      </c>
      <c r="AJ8" s="37">
        <v>5</v>
      </c>
      <c r="AK8" s="37">
        <v>1</v>
      </c>
      <c r="AL8" s="39">
        <v>0.33333333333333331</v>
      </c>
    </row>
    <row r="9" spans="2:44" x14ac:dyDescent="0.3">
      <c r="E9" s="10" t="s">
        <v>180</v>
      </c>
      <c r="F9">
        <v>15</v>
      </c>
      <c r="L9" s="10" t="s">
        <v>209</v>
      </c>
      <c r="S9" s="10" t="s">
        <v>131</v>
      </c>
      <c r="T9">
        <v>-2</v>
      </c>
      <c r="V9" s="10" t="s">
        <v>89</v>
      </c>
      <c r="W9" s="42">
        <v>66.925304540420825</v>
      </c>
      <c r="Y9" s="10" t="s">
        <v>71</v>
      </c>
      <c r="Z9" s="42">
        <v>71.231462217860653</v>
      </c>
      <c r="AB9" s="21" t="s">
        <v>209</v>
      </c>
      <c r="AC9">
        <v>3680</v>
      </c>
      <c r="AE9" s="21" t="s">
        <v>214</v>
      </c>
      <c r="AG9">
        <v>8280</v>
      </c>
      <c r="AI9" s="38" t="s">
        <v>71</v>
      </c>
      <c r="AJ9" s="37">
        <v>4</v>
      </c>
      <c r="AK9" s="37">
        <v>1</v>
      </c>
      <c r="AL9" s="39">
        <v>0.26666666666666666</v>
      </c>
    </row>
    <row r="10" spans="2:44" x14ac:dyDescent="0.3">
      <c r="L10" s="11">
        <v>46137</v>
      </c>
      <c r="M10">
        <v>3</v>
      </c>
      <c r="S10" s="10" t="s">
        <v>180</v>
      </c>
      <c r="T10">
        <v>15</v>
      </c>
      <c r="V10" s="10" t="s">
        <v>131</v>
      </c>
      <c r="W10" s="42">
        <v>30.02506322711179</v>
      </c>
      <c r="Y10" s="10" t="s">
        <v>14</v>
      </c>
      <c r="Z10" s="42">
        <v>103.15640566037737</v>
      </c>
      <c r="AB10" s="21" t="s">
        <v>214</v>
      </c>
      <c r="AC10">
        <v>-8280</v>
      </c>
      <c r="AE10" s="10" t="s">
        <v>180</v>
      </c>
      <c r="AF10">
        <v>33640</v>
      </c>
      <c r="AG10">
        <v>8280</v>
      </c>
      <c r="AI10" s="38" t="s">
        <v>14</v>
      </c>
      <c r="AJ10" s="37">
        <v>3</v>
      </c>
      <c r="AK10" s="37">
        <v>1</v>
      </c>
      <c r="AL10" s="39">
        <v>0.2</v>
      </c>
    </row>
    <row r="11" spans="2:44" ht="15" thickBot="1" x14ac:dyDescent="0.35">
      <c r="L11" s="10" t="s">
        <v>214</v>
      </c>
      <c r="V11" s="10" t="s">
        <v>180</v>
      </c>
      <c r="W11" s="42">
        <v>52.511812516691897</v>
      </c>
      <c r="Y11" s="10" t="s">
        <v>180</v>
      </c>
      <c r="Z11" s="42">
        <v>52.511812516691897</v>
      </c>
      <c r="AB11" s="10" t="s">
        <v>180</v>
      </c>
      <c r="AC11">
        <v>104050</v>
      </c>
      <c r="AI11" s="38" t="s">
        <v>131</v>
      </c>
      <c r="AJ11" s="37">
        <v>-2</v>
      </c>
      <c r="AK11" s="37">
        <v>1</v>
      </c>
      <c r="AL11" s="39">
        <v>-0.13333333333333333</v>
      </c>
    </row>
    <row r="12" spans="2:44" ht="18" x14ac:dyDescent="0.35">
      <c r="J12" s="18" t="s">
        <v>160</v>
      </c>
      <c r="K12" t="s">
        <v>195</v>
      </c>
      <c r="L12" s="11">
        <v>46152</v>
      </c>
      <c r="M12">
        <v>2</v>
      </c>
      <c r="AI12" s="38" t="s">
        <v>180</v>
      </c>
      <c r="AJ12" s="37">
        <v>15</v>
      </c>
      <c r="AK12" s="37">
        <v>5</v>
      </c>
      <c r="AL12" s="39">
        <v>1</v>
      </c>
    </row>
    <row r="13" spans="2:44" x14ac:dyDescent="0.3">
      <c r="J13" s="27">
        <f>GETPIVOTDATA("[Measures].[Holdings]",$O$3)</f>
        <v>15</v>
      </c>
      <c r="K13" s="28">
        <f>GETPIVOTDATA("[Measures].[Total Return %]",pivot_backend!$H$4)</f>
        <v>-0.26101137043686418</v>
      </c>
      <c r="L13" s="10" t="s">
        <v>180</v>
      </c>
      <c r="M13">
        <v>19</v>
      </c>
    </row>
    <row r="14" spans="2:44" ht="21.6" thickBot="1" x14ac:dyDescent="0.45">
      <c r="K14" s="29" t="str">
        <f>IF(K13&gt;=0,"▲ ","▼ ")&amp;TEXT(ABS(K13),"0.00%")</f>
        <v>▼ 26.10%</v>
      </c>
    </row>
    <row r="15" spans="2:44" ht="18" x14ac:dyDescent="0.35">
      <c r="H15" s="18" t="s">
        <v>185</v>
      </c>
    </row>
    <row r="16" spans="2:44" x14ac:dyDescent="0.3">
      <c r="H16" s="27">
        <f>GETPIVOTDATA("[Measures].[Stock Count]",$O$3)</f>
        <v>5</v>
      </c>
    </row>
    <row r="19" spans="5:8" ht="15" thickBot="1" x14ac:dyDescent="0.35"/>
    <row r="20" spans="5:8" ht="18" x14ac:dyDescent="0.35">
      <c r="H20" s="18" t="s">
        <v>184</v>
      </c>
    </row>
    <row r="21" spans="5:8" x14ac:dyDescent="0.3">
      <c r="H21" s="30">
        <f>GETPIVOTDATA("[Measures].[Total Transaction Value]",$O$3)</f>
        <v>41860</v>
      </c>
    </row>
    <row r="24" spans="5:8" x14ac:dyDescent="0.3">
      <c r="E24" s="32" t="str">
        <f>V5 &amp; " (" &amp; TEXT(W5/100,"0.00%") &amp; ")"</f>
        <v>ADANIPORTS (103.16%)</v>
      </c>
      <c r="F24" s="31" t="str">
        <f>Y5 &amp; " (" &amp; TEXT(Z5/100,"0.00%") &amp; ")"</f>
        <v>APOLLOHOSP (16.76%)</v>
      </c>
    </row>
  </sheetData>
  <conditionalFormatting sqref="K14">
    <cfRule type="expression" dxfId="25" priority="2">
      <formula>$K13&lt;0</formula>
    </cfRule>
    <cfRule type="expression" dxfId="24" priority="3">
      <formula>$K13&gt;=0</formula>
    </cfRule>
  </conditionalFormatting>
  <conditionalFormatting pivot="1" sqref="AL8:AL11">
    <cfRule type="dataBar" priority="1">
      <dataBar>
        <cfvo type="min"/>
        <cfvo type="max"/>
        <color rgb="FF63C384"/>
      </dataBar>
      <extLst>
        <ext xmlns:x14="http://schemas.microsoft.com/office/spreadsheetml/2009/9/main" uri="{B025F937-C7B1-47D3-B67F-A62EFF666E3E}">
          <x14:id>{71792FFE-3B6C-41EC-9DDC-E50845928DDB}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71792FFE-3B6C-41EC-9DDC-E50845928DDB}">
            <x14:dataBar minLength="0" maxLength="100" border="1" negativeBarBorderColorSameAsPositive="0">
              <x14:cfvo type="autoMin"/>
              <x14:cfvo type="autoMax"/>
              <x14:borderColor rgb="FF63C384"/>
              <x14:negativeFillColor rgb="FFFF0000"/>
              <x14:negativeBorderColor rgb="FFFF0000"/>
              <x14:axisColor rgb="FF000000"/>
            </x14:dataBar>
          </x14:cfRule>
          <xm:sqref>AL8:AL11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87DD6-96DF-4709-BCC7-7040C03B7002}">
  <sheetPr codeName="Sheet6"/>
  <dimension ref="A1:AC51"/>
  <sheetViews>
    <sheetView topLeftCell="A13" workbookViewId="0">
      <selection activeCell="G25" sqref="G25"/>
    </sheetView>
  </sheetViews>
  <sheetFormatPr defaultRowHeight="14.4" x14ac:dyDescent="0.3"/>
  <cols>
    <col min="1" max="1" width="4.21875" bestFit="1" customWidth="1"/>
    <col min="2" max="2" width="22.33203125" bestFit="1" customWidth="1"/>
    <col min="3" max="3" width="13.5546875" bestFit="1" customWidth="1"/>
    <col min="4" max="4" width="20.77734375" bestFit="1" customWidth="1"/>
    <col min="5" max="5" width="35.6640625" bestFit="1" customWidth="1"/>
    <col min="7" max="7" width="10.44140625" bestFit="1" customWidth="1"/>
    <col min="8" max="8" width="15.88671875" customWidth="1"/>
    <col min="9" max="9" width="16.33203125" customWidth="1"/>
    <col min="10" max="10" width="15.6640625" customWidth="1"/>
    <col min="11" max="11" width="14.109375" customWidth="1"/>
    <col min="12" max="12" width="11.88671875" customWidth="1"/>
  </cols>
  <sheetData>
    <row r="1" spans="1:29" ht="28.8" x14ac:dyDescent="0.3">
      <c r="A1" t="s">
        <v>5</v>
      </c>
      <c r="B1" t="s">
        <v>154</v>
      </c>
      <c r="C1" t="s">
        <v>6</v>
      </c>
      <c r="D1" t="s">
        <v>7</v>
      </c>
      <c r="E1" t="s">
        <v>8</v>
      </c>
      <c r="F1" t="s">
        <v>158</v>
      </c>
      <c r="G1" s="2" t="s">
        <v>160</v>
      </c>
      <c r="H1" s="2" t="s">
        <v>161</v>
      </c>
      <c r="I1" s="2" t="s">
        <v>162</v>
      </c>
      <c r="J1" s="2" t="s">
        <v>163</v>
      </c>
      <c r="K1" s="2" t="s">
        <v>164</v>
      </c>
      <c r="L1" s="3" t="s">
        <v>165</v>
      </c>
    </row>
    <row r="2" spans="1:29" x14ac:dyDescent="0.3">
      <c r="A2">
        <v>1</v>
      </c>
      <c r="B2" t="s">
        <v>9</v>
      </c>
      <c r="C2" t="s">
        <v>10</v>
      </c>
      <c r="D2" t="s">
        <v>11</v>
      </c>
      <c r="E2" t="s">
        <v>12</v>
      </c>
      <c r="F2" t="s">
        <v>159</v>
      </c>
      <c r="G2">
        <f>SUMIFS(tblTransactions[Quantity],tblTransactions[Symbol],Calculations!A2,tblTransactions[Buy/Sell],"Buy")-SUMIFS(tblTransactions[Quantity],tblTransactions[Symbol],Calculations!A2,tblTransactions[Buy/Sell],"Sell")</f>
        <v>0</v>
      </c>
      <c r="H2">
        <f>_xlfn.XLOOKUP(Calculations!A2,tblPrices[Symbol],tblPrices[Current price],"")</f>
        <v>3187.1</v>
      </c>
      <c r="I2">
        <f t="shared" ref="I2:I33" si="0">G2*H2</f>
        <v>0</v>
      </c>
      <c r="J2" cm="1">
        <f t="array" ref="J2">IFERROR(
SUMPRODUCT(
(tblTransactions[Symbol]=Calculations!A2)*
(tblTransactions[Buy/Sell]="Buy")*
(tblTransactions[Quantity])*
(tblTransactions[Price/Share])
)
/
SUMIFS(tblTransactions[Quantity],
tblTransactions[Symbol],Calculations!A2,
tblTransactions[Buy/Sell],"Buy"),0)</f>
        <v>0</v>
      </c>
      <c r="K2">
        <f t="shared" ref="K2:K33" si="1">I2-(G2*J2)</f>
        <v>0</v>
      </c>
      <c r="L2" s="41">
        <f t="shared" ref="L2:L33" si="2">IFERROR(K2/(G2*J2),0)</f>
        <v>0</v>
      </c>
    </row>
    <row r="3" spans="1:29" x14ac:dyDescent="0.3">
      <c r="A3">
        <v>2</v>
      </c>
      <c r="B3" t="s">
        <v>13</v>
      </c>
      <c r="C3" t="s">
        <v>14</v>
      </c>
      <c r="D3" t="s">
        <v>15</v>
      </c>
      <c r="E3" t="s">
        <v>16</v>
      </c>
      <c r="F3" t="s">
        <v>159</v>
      </c>
      <c r="G3">
        <f>SUMIFS(tblTransactions[Quantity],tblTransactions[Symbol],Calculations!A3,tblTransactions[Buy/Sell],"Buy")-SUMIFS(tblTransactions[Quantity],tblTransactions[Symbol],Calculations!A3,tblTransactions[Buy/Sell],"Sell")</f>
        <v>9</v>
      </c>
      <c r="H3">
        <f>_xlfn.XLOOKUP(Calculations!A3,tblPrices[Symbol],tblPrices[Current price],"")</f>
        <v>1869.7</v>
      </c>
      <c r="I3">
        <f t="shared" si="0"/>
        <v>16827.3</v>
      </c>
      <c r="J3" cm="1">
        <f t="array" ref="J3">IFERROR(
SUMPRODUCT(
(tblTransactions[Symbol]=Calculations!A3)*
(tblTransactions[Buy/Sell]="Buy")*
(tblTransactions[Quantity])*
(tblTransactions[Price/Share])
)
/
SUMIFS(tblTransactions[Quantity],
tblTransactions[Symbol],Calculations!A3,
tblTransactions[Buy/Sell],"Buy"),0)</f>
        <v>1173.3333333333333</v>
      </c>
      <c r="K3">
        <f t="shared" si="1"/>
        <v>6267.2999999999993</v>
      </c>
      <c r="L3" s="41">
        <f t="shared" si="2"/>
        <v>0.59349431818181808</v>
      </c>
      <c r="AB3" t="s">
        <v>172</v>
      </c>
      <c r="AC3" t="s">
        <v>168</v>
      </c>
    </row>
    <row r="4" spans="1:29" x14ac:dyDescent="0.3">
      <c r="A4">
        <v>3</v>
      </c>
      <c r="B4" t="s">
        <v>17</v>
      </c>
      <c r="C4" t="s">
        <v>18</v>
      </c>
      <c r="D4" t="s">
        <v>19</v>
      </c>
      <c r="E4" t="s">
        <v>20</v>
      </c>
      <c r="F4" t="s">
        <v>159</v>
      </c>
      <c r="G4">
        <f>SUMIFS(tblTransactions[Quantity],tblTransactions[Symbol],Calculations!A4,tblTransactions[Buy/Sell],"Buy")-SUMIFS(tblTransactions[Quantity],tblTransactions[Symbol],Calculations!A4,tblTransactions[Buy/Sell],"Sell")</f>
        <v>3</v>
      </c>
      <c r="H4">
        <f>_xlfn.XLOOKUP(Calculations!A4,tblPrices[Symbol],tblPrices[Current price],"")</f>
        <v>8630.5</v>
      </c>
      <c r="I4">
        <f t="shared" si="0"/>
        <v>25891.5</v>
      </c>
      <c r="J4" cm="1">
        <f t="array" ref="J4">IFERROR(
SUMPRODUCT(
(tblTransactions[Symbol]=Calculations!A4)*
(tblTransactions[Buy/Sell]="Buy")*
(tblTransactions[Quantity])*
(tblTransactions[Price/Share])
)
/
SUMIFS(tblTransactions[Quantity],
tblTransactions[Symbol],Calculations!A4,
tblTransactions[Buy/Sell],"Buy"),0)</f>
        <v>6900</v>
      </c>
      <c r="K4">
        <f t="shared" si="1"/>
        <v>5191.5</v>
      </c>
      <c r="L4" s="41">
        <f t="shared" si="2"/>
        <v>0.25079710144927536</v>
      </c>
      <c r="AB4" t="s">
        <v>169</v>
      </c>
      <c r="AC4" t="s">
        <v>175</v>
      </c>
    </row>
    <row r="5" spans="1:29" x14ac:dyDescent="0.3">
      <c r="A5">
        <v>4</v>
      </c>
      <c r="B5" t="s">
        <v>21</v>
      </c>
      <c r="C5" t="s">
        <v>22</v>
      </c>
      <c r="D5" t="s">
        <v>23</v>
      </c>
      <c r="E5" t="s">
        <v>24</v>
      </c>
      <c r="F5" t="s">
        <v>159</v>
      </c>
      <c r="G5">
        <f>SUMIFS(tblTransactions[Quantity],tblTransactions[Symbol],Calculations!A5,tblTransactions[Buy/Sell],"Buy")-SUMIFS(tblTransactions[Quantity],tblTransactions[Symbol],Calculations!A5,tblTransactions[Buy/Sell],"Sell")</f>
        <v>5</v>
      </c>
      <c r="H5">
        <f>_xlfn.XLOOKUP(Calculations!A5,tblPrices[Symbol],tblPrices[Current price],"")</f>
        <v>2731.1</v>
      </c>
      <c r="I5">
        <f t="shared" si="0"/>
        <v>13655.5</v>
      </c>
      <c r="J5" cm="1">
        <f t="array" ref="J5">IFERROR(
SUMPRODUCT(
(tblTransactions[Symbol]=Calculations!A5)*
(tblTransactions[Buy/Sell]="Buy")*
(tblTransactions[Quantity])*
(tblTransactions[Price/Share])
)
/
SUMIFS(tblTransactions[Quantity],
tblTransactions[Symbol],Calculations!A5,
tblTransactions[Buy/Sell],"Buy"),0)</f>
        <v>2750</v>
      </c>
      <c r="K5">
        <f t="shared" si="1"/>
        <v>-94.5</v>
      </c>
      <c r="L5" s="41">
        <f t="shared" si="2"/>
        <v>-6.8727272727272725E-3</v>
      </c>
      <c r="AB5" t="s">
        <v>192</v>
      </c>
    </row>
    <row r="6" spans="1:29" x14ac:dyDescent="0.3">
      <c r="A6">
        <v>5</v>
      </c>
      <c r="B6" t="s">
        <v>25</v>
      </c>
      <c r="C6" t="s">
        <v>26</v>
      </c>
      <c r="D6" t="s">
        <v>27</v>
      </c>
      <c r="E6" t="s">
        <v>28</v>
      </c>
      <c r="F6" t="s">
        <v>159</v>
      </c>
      <c r="G6">
        <f>SUMIFS(tblTransactions[Quantity],tblTransactions[Symbol],Calculations!A6,tblTransactions[Buy/Sell],"Buy")-SUMIFS(tblTransactions[Quantity],tblTransactions[Symbol],Calculations!A6,tblTransactions[Buy/Sell],"Sell")</f>
        <v>0</v>
      </c>
      <c r="H6">
        <f>_xlfn.XLOOKUP(Calculations!A6,tblPrices[Symbol],tblPrices[Current price],"")</f>
        <v>1363.1</v>
      </c>
      <c r="I6">
        <f t="shared" si="0"/>
        <v>0</v>
      </c>
      <c r="J6" cm="1">
        <f t="array" ref="J6">IFERROR(
SUMPRODUCT(
(tblTransactions[Symbol]=Calculations!A6)*
(tblTransactions[Buy/Sell]="Buy")*
(tblTransactions[Quantity])*
(tblTransactions[Price/Share])
)
/
SUMIFS(tblTransactions[Quantity],
tblTransactions[Symbol],Calculations!A6,
tblTransactions[Buy/Sell],"Buy"),0)</f>
        <v>0</v>
      </c>
      <c r="K6">
        <f t="shared" si="1"/>
        <v>0</v>
      </c>
      <c r="L6" s="41">
        <f t="shared" si="2"/>
        <v>0</v>
      </c>
      <c r="AB6" t="s">
        <v>193</v>
      </c>
    </row>
    <row r="7" spans="1:29" x14ac:dyDescent="0.3">
      <c r="A7">
        <v>6</v>
      </c>
      <c r="B7" t="s">
        <v>29</v>
      </c>
      <c r="C7" t="s">
        <v>30</v>
      </c>
      <c r="D7" t="s">
        <v>31</v>
      </c>
      <c r="E7" t="s">
        <v>32</v>
      </c>
      <c r="F7" t="s">
        <v>159</v>
      </c>
      <c r="G7">
        <f>SUMIFS(tblTransactions[Quantity],tblTransactions[Symbol],Calculations!A7,tblTransactions[Buy/Sell],"Buy")-SUMIFS(tblTransactions[Quantity],tblTransactions[Symbol],Calculations!A7,tblTransactions[Buy/Sell],"Sell")</f>
        <v>0</v>
      </c>
      <c r="H7">
        <f>_xlfn.XLOOKUP(Calculations!A7,tblPrices[Symbol],tblPrices[Current price],"")</f>
        <v>9750</v>
      </c>
      <c r="I7">
        <f t="shared" si="0"/>
        <v>0</v>
      </c>
      <c r="J7" cm="1">
        <f t="array" ref="J7">IFERROR(
SUMPRODUCT(
(tblTransactions[Symbol]=Calculations!A7)*
(tblTransactions[Buy/Sell]="Buy")*
(tblTransactions[Quantity])*
(tblTransactions[Price/Share])
)
/
SUMIFS(tblTransactions[Quantity],
tblTransactions[Symbol],Calculations!A7,
tblTransactions[Buy/Sell],"Buy"),0)</f>
        <v>0</v>
      </c>
      <c r="K7">
        <f t="shared" si="1"/>
        <v>0</v>
      </c>
      <c r="L7" s="41">
        <f t="shared" si="2"/>
        <v>0</v>
      </c>
      <c r="AB7" t="s">
        <v>194</v>
      </c>
    </row>
    <row r="8" spans="1:29" x14ac:dyDescent="0.3">
      <c r="A8">
        <v>7</v>
      </c>
      <c r="B8" t="s">
        <v>33</v>
      </c>
      <c r="C8" t="s">
        <v>34</v>
      </c>
      <c r="D8" t="s">
        <v>27</v>
      </c>
      <c r="E8" t="s">
        <v>35</v>
      </c>
      <c r="F8" t="s">
        <v>159</v>
      </c>
      <c r="G8">
        <f>SUMIFS(tblTransactions[Quantity],tblTransactions[Symbol],Calculations!A8,tblTransactions[Buy/Sell],"Buy")-SUMIFS(tblTransactions[Quantity],tblTransactions[Symbol],Calculations!A8,tblTransactions[Buy/Sell],"Sell")</f>
        <v>0</v>
      </c>
      <c r="H8">
        <f>_xlfn.XLOOKUP(Calculations!A8,tblPrices[Symbol],tblPrices[Current price],"")</f>
        <v>1023.6</v>
      </c>
      <c r="I8">
        <f t="shared" si="0"/>
        <v>0</v>
      </c>
      <c r="J8" cm="1">
        <f t="array" ref="J8">IFERROR(
SUMPRODUCT(
(tblTransactions[Symbol]=Calculations!A8)*
(tblTransactions[Buy/Sell]="Buy")*
(tblTransactions[Quantity])*
(tblTransactions[Price/Share])
)
/
SUMIFS(tblTransactions[Quantity],
tblTransactions[Symbol],Calculations!A8,
tblTransactions[Buy/Sell],"Buy"),0)</f>
        <v>0</v>
      </c>
      <c r="K8">
        <f t="shared" si="1"/>
        <v>0</v>
      </c>
      <c r="L8" s="41">
        <f t="shared" si="2"/>
        <v>0</v>
      </c>
    </row>
    <row r="9" spans="1:29" x14ac:dyDescent="0.3">
      <c r="A9">
        <v>8</v>
      </c>
      <c r="B9" t="s">
        <v>36</v>
      </c>
      <c r="C9" t="s">
        <v>37</v>
      </c>
      <c r="D9" t="s">
        <v>27</v>
      </c>
      <c r="E9" t="s">
        <v>38</v>
      </c>
      <c r="F9" t="s">
        <v>159</v>
      </c>
      <c r="G9">
        <f>SUMIFS(tblTransactions[Quantity],tblTransactions[Symbol],Calculations!A9,tblTransactions[Buy/Sell],"Buy")-SUMIFS(tblTransactions[Quantity],tblTransactions[Symbol],Calculations!A9,tblTransactions[Buy/Sell],"Sell")</f>
        <v>0</v>
      </c>
      <c r="H9">
        <f>_xlfn.XLOOKUP(Calculations!A9,tblPrices[Symbol],tblPrices[Current price],"")</f>
        <v>1851.4</v>
      </c>
      <c r="I9">
        <f t="shared" si="0"/>
        <v>0</v>
      </c>
      <c r="J9" cm="1">
        <f t="array" ref="J9">IFERROR(
SUMPRODUCT(
(tblTransactions[Symbol]=Calculations!A9)*
(tblTransactions[Buy/Sell]="Buy")*
(tblTransactions[Quantity])*
(tblTransactions[Price/Share])
)
/
SUMIFS(tblTransactions[Quantity],
tblTransactions[Symbol],Calculations!A9,
tblTransactions[Buy/Sell],"Buy"),0)</f>
        <v>0</v>
      </c>
      <c r="K9">
        <f t="shared" si="1"/>
        <v>0</v>
      </c>
      <c r="L9" s="41">
        <f t="shared" si="2"/>
        <v>0</v>
      </c>
    </row>
    <row r="10" spans="1:29" x14ac:dyDescent="0.3">
      <c r="A10">
        <v>9</v>
      </c>
      <c r="B10" t="s">
        <v>39</v>
      </c>
      <c r="C10" t="s">
        <v>40</v>
      </c>
      <c r="D10" t="s">
        <v>15</v>
      </c>
      <c r="E10" t="s">
        <v>41</v>
      </c>
      <c r="F10" t="s">
        <v>159</v>
      </c>
      <c r="G10">
        <f>SUMIFS(tblTransactions[Quantity],tblTransactions[Symbol],Calculations!A10,tblTransactions[Buy/Sell],"Buy")-SUMIFS(tblTransactions[Quantity],tblTransactions[Symbol],Calculations!A10,tblTransactions[Buy/Sell],"Sell")</f>
        <v>0</v>
      </c>
      <c r="H10">
        <f>_xlfn.XLOOKUP(Calculations!A10,tblPrices[Symbol],tblPrices[Current price],"")</f>
        <v>414.2</v>
      </c>
      <c r="I10">
        <f t="shared" si="0"/>
        <v>0</v>
      </c>
      <c r="J10" cm="1">
        <f t="array" ref="J10">IFERROR(
SUMPRODUCT(
(tblTransactions[Symbol]=Calculations!A10)*
(tblTransactions[Buy/Sell]="Buy")*
(tblTransactions[Quantity])*
(tblTransactions[Price/Share])
)
/
SUMIFS(tblTransactions[Quantity],
tblTransactions[Symbol],Calculations!A10,
tblTransactions[Buy/Sell],"Buy"),0)</f>
        <v>0</v>
      </c>
      <c r="K10">
        <f t="shared" si="1"/>
        <v>0</v>
      </c>
      <c r="L10" s="41">
        <f t="shared" si="2"/>
        <v>0</v>
      </c>
    </row>
    <row r="11" spans="1:29" x14ac:dyDescent="0.3">
      <c r="A11">
        <v>10</v>
      </c>
      <c r="B11" t="s">
        <v>42</v>
      </c>
      <c r="C11" t="s">
        <v>42</v>
      </c>
      <c r="D11" t="s">
        <v>11</v>
      </c>
      <c r="E11" t="s">
        <v>43</v>
      </c>
      <c r="F11" t="s">
        <v>159</v>
      </c>
      <c r="G11">
        <f>SUMIFS(tblTransactions[Quantity],tblTransactions[Symbol],Calculations!A11,tblTransactions[Buy/Sell],"Buy")-SUMIFS(tblTransactions[Quantity],tblTransactions[Symbol],Calculations!A11,tblTransactions[Buy/Sell],"Sell")</f>
        <v>0</v>
      </c>
      <c r="H11">
        <f>_xlfn.XLOOKUP(Calculations!A11,tblPrices[Symbol],tblPrices[Current price],"")</f>
        <v>312.5</v>
      </c>
      <c r="I11">
        <f t="shared" si="0"/>
        <v>0</v>
      </c>
      <c r="J11" cm="1">
        <f t="array" ref="J11">IFERROR(
SUMPRODUCT(
(tblTransactions[Symbol]=Calculations!A11)*
(tblTransactions[Buy/Sell]="Buy")*
(tblTransactions[Quantity])*
(tblTransactions[Price/Share])
)
/
SUMIFS(tblTransactions[Quantity],
tblTransactions[Symbol],Calculations!A11,
tblTransactions[Buy/Sell],"Buy"),0)</f>
        <v>0</v>
      </c>
      <c r="K11">
        <f t="shared" si="1"/>
        <v>0</v>
      </c>
      <c r="L11" s="41">
        <f t="shared" si="2"/>
        <v>0</v>
      </c>
    </row>
    <row r="12" spans="1:29" x14ac:dyDescent="0.3">
      <c r="A12">
        <v>11</v>
      </c>
      <c r="B12" t="s">
        <v>44</v>
      </c>
      <c r="C12" t="s">
        <v>45</v>
      </c>
      <c r="D12" t="s">
        <v>46</v>
      </c>
      <c r="E12" t="s">
        <v>47</v>
      </c>
      <c r="F12" t="s">
        <v>159</v>
      </c>
      <c r="G12">
        <f>SUMIFS(tblTransactions[Quantity],tblTransactions[Symbol],Calculations!A12,tblTransactions[Buy/Sell],"Buy")-SUMIFS(tblTransactions[Quantity],tblTransactions[Symbol],Calculations!A12,tblTransactions[Buy/Sell],"Sell")</f>
        <v>0</v>
      </c>
      <c r="H12">
        <f>_xlfn.XLOOKUP(Calculations!A12,tblPrices[Symbol],tblPrices[Current price],"")</f>
        <v>1857.5</v>
      </c>
      <c r="I12">
        <f t="shared" si="0"/>
        <v>0</v>
      </c>
      <c r="J12" cm="1">
        <f t="array" ref="J12">IFERROR(
SUMPRODUCT(
(tblTransactions[Symbol]=Calculations!A12)*
(tblTransactions[Buy/Sell]="Buy")*
(tblTransactions[Quantity])*
(tblTransactions[Price/Share])
)
/
SUMIFS(tblTransactions[Quantity],
tblTransactions[Symbol],Calculations!A12,
tblTransactions[Buy/Sell],"Buy"),0)</f>
        <v>0</v>
      </c>
      <c r="K12">
        <f t="shared" si="1"/>
        <v>0</v>
      </c>
      <c r="L12" s="41">
        <f t="shared" si="2"/>
        <v>0</v>
      </c>
    </row>
    <row r="13" spans="1:29" x14ac:dyDescent="0.3">
      <c r="A13">
        <v>12</v>
      </c>
      <c r="B13" t="s">
        <v>48</v>
      </c>
      <c r="C13" t="s">
        <v>49</v>
      </c>
      <c r="D13" t="s">
        <v>23</v>
      </c>
      <c r="E13" t="s">
        <v>50</v>
      </c>
      <c r="F13" t="s">
        <v>159</v>
      </c>
      <c r="G13">
        <f>SUMIFS(tblTransactions[Quantity],tblTransactions[Symbol],Calculations!A13,tblTransactions[Buy/Sell],"Buy")-SUMIFS(tblTransactions[Quantity],tblTransactions[Symbol],Calculations!A13,tblTransactions[Buy/Sell],"Sell")</f>
        <v>0</v>
      </c>
      <c r="H13">
        <f>_xlfn.XLOOKUP(Calculations!A13,tblPrices[Symbol],tblPrices[Current price],"")</f>
        <v>5312.5</v>
      </c>
      <c r="I13">
        <f t="shared" si="0"/>
        <v>0</v>
      </c>
      <c r="J13" cm="1">
        <f t="array" ref="J13">IFERROR(
SUMPRODUCT(
(tblTransactions[Symbol]=Calculations!A13)*
(tblTransactions[Buy/Sell]="Buy")*
(tblTransactions[Quantity])*
(tblTransactions[Price/Share])
)
/
SUMIFS(tblTransactions[Quantity],
tblTransactions[Symbol],Calculations!A13,
tblTransactions[Buy/Sell],"Buy"),0)</f>
        <v>0</v>
      </c>
      <c r="K13">
        <f t="shared" si="1"/>
        <v>0</v>
      </c>
      <c r="L13" s="41">
        <f t="shared" si="2"/>
        <v>0</v>
      </c>
    </row>
    <row r="14" spans="1:29" x14ac:dyDescent="0.3">
      <c r="A14">
        <v>13</v>
      </c>
      <c r="B14" t="s">
        <v>51</v>
      </c>
      <c r="C14" t="s">
        <v>52</v>
      </c>
      <c r="D14" t="s">
        <v>19</v>
      </c>
      <c r="E14" t="s">
        <v>53</v>
      </c>
      <c r="F14" t="s">
        <v>159</v>
      </c>
      <c r="G14">
        <f>SUMIFS(tblTransactions[Quantity],tblTransactions[Symbol],Calculations!A14,tblTransactions[Buy/Sell],"Buy")-SUMIFS(tblTransactions[Quantity],tblTransactions[Symbol],Calculations!A14,tblTransactions[Buy/Sell],"Sell")</f>
        <v>0</v>
      </c>
      <c r="H14">
        <f>_xlfn.XLOOKUP(Calculations!A14,tblPrices[Symbol],tblPrices[Current price],"")</f>
        <v>1457.8</v>
      </c>
      <c r="I14">
        <f t="shared" si="0"/>
        <v>0</v>
      </c>
      <c r="J14" cm="1">
        <f t="array" ref="J14">IFERROR(
SUMPRODUCT(
(tblTransactions[Symbol]=Calculations!A14)*
(tblTransactions[Buy/Sell]="Buy")*
(tblTransactions[Quantity])*
(tblTransactions[Price/Share])
)
/
SUMIFS(tblTransactions[Quantity],
tblTransactions[Symbol],Calculations!A14,
tblTransactions[Buy/Sell],"Buy"),0)</f>
        <v>0</v>
      </c>
      <c r="K14">
        <f t="shared" si="1"/>
        <v>0</v>
      </c>
      <c r="L14" s="41">
        <f t="shared" si="2"/>
        <v>0</v>
      </c>
    </row>
    <row r="15" spans="1:29" x14ac:dyDescent="0.3">
      <c r="A15">
        <v>14</v>
      </c>
      <c r="B15" t="s">
        <v>54</v>
      </c>
      <c r="C15" t="s">
        <v>55</v>
      </c>
      <c r="D15" t="s">
        <v>11</v>
      </c>
      <c r="E15" t="s">
        <v>56</v>
      </c>
      <c r="F15" t="s">
        <v>159</v>
      </c>
      <c r="G15">
        <f>SUMIFS(tblTransactions[Quantity],tblTransactions[Symbol],Calculations!A15,tblTransactions[Buy/Sell],"Buy")-SUMIFS(tblTransactions[Quantity],tblTransactions[Symbol],Calculations!A15,tblTransactions[Buy/Sell],"Sell")</f>
        <v>0</v>
      </c>
      <c r="H15">
        <f>_xlfn.XLOOKUP(Calculations!A15,tblPrices[Symbol],tblPrices[Current price],"")</f>
        <v>434.3</v>
      </c>
      <c r="I15">
        <f t="shared" si="0"/>
        <v>0</v>
      </c>
      <c r="J15" cm="1">
        <f t="array" ref="J15">IFERROR(
SUMPRODUCT(
(tblTransactions[Symbol]=Calculations!A15)*
(tblTransactions[Buy/Sell]="Buy")*
(tblTransactions[Quantity])*
(tblTransactions[Price/Share])
)
/
SUMIFS(tblTransactions[Quantity],
tblTransactions[Symbol],Calculations!A15,
tblTransactions[Buy/Sell],"Buy"),0)</f>
        <v>0</v>
      </c>
      <c r="K15">
        <f t="shared" si="1"/>
        <v>0</v>
      </c>
      <c r="L15" s="41">
        <f t="shared" si="2"/>
        <v>0</v>
      </c>
    </row>
    <row r="16" spans="1:29" x14ac:dyDescent="0.3">
      <c r="A16">
        <v>15</v>
      </c>
      <c r="B16" t="s">
        <v>57</v>
      </c>
      <c r="C16" t="s">
        <v>58</v>
      </c>
      <c r="D16" t="s">
        <v>19</v>
      </c>
      <c r="E16" t="s">
        <v>53</v>
      </c>
      <c r="F16" t="s">
        <v>159</v>
      </c>
      <c r="G16">
        <f>SUMIFS(tblTransactions[Quantity],tblTransactions[Symbol],Calculations!A16,tblTransactions[Buy/Sell],"Buy")-SUMIFS(tblTransactions[Quantity],tblTransactions[Symbol],Calculations!A16,tblTransactions[Buy/Sell],"Sell")</f>
        <v>0</v>
      </c>
      <c r="H16">
        <f>_xlfn.XLOOKUP(Calculations!A16,tblPrices[Symbol],tblPrices[Current price],"")</f>
        <v>1346</v>
      </c>
      <c r="I16">
        <f t="shared" si="0"/>
        <v>0</v>
      </c>
      <c r="J16" cm="1">
        <f t="array" ref="J16">IFERROR(
SUMPRODUCT(
(tblTransactions[Symbol]=Calculations!A16)*
(tblTransactions[Buy/Sell]="Buy")*
(tblTransactions[Quantity])*
(tblTransactions[Price/Share])
)
/
SUMIFS(tblTransactions[Quantity],
tblTransactions[Symbol],Calculations!A16,
tblTransactions[Buy/Sell],"Buy"),0)</f>
        <v>0</v>
      </c>
      <c r="K16">
        <f t="shared" si="1"/>
        <v>0</v>
      </c>
      <c r="L16" s="41">
        <f t="shared" si="2"/>
        <v>0</v>
      </c>
    </row>
    <row r="17" spans="1:12" x14ac:dyDescent="0.3">
      <c r="A17">
        <v>16</v>
      </c>
      <c r="B17" t="s">
        <v>59</v>
      </c>
      <c r="C17" t="s">
        <v>60</v>
      </c>
      <c r="D17" t="s">
        <v>31</v>
      </c>
      <c r="E17" t="s">
        <v>61</v>
      </c>
      <c r="F17" t="s">
        <v>159</v>
      </c>
      <c r="G17">
        <f>SUMIFS(tblTransactions[Quantity],tblTransactions[Symbol],Calculations!A17,tblTransactions[Buy/Sell],"Buy")-SUMIFS(tblTransactions[Quantity],tblTransactions[Symbol],Calculations!A17,tblTransactions[Buy/Sell],"Sell")</f>
        <v>0</v>
      </c>
      <c r="H17">
        <f>_xlfn.XLOOKUP(Calculations!A17,tblPrices[Symbol],tblPrices[Current price],"")</f>
        <v>7182.5</v>
      </c>
      <c r="I17">
        <f t="shared" si="0"/>
        <v>0</v>
      </c>
      <c r="J17" cm="1">
        <f t="array" ref="J17">IFERROR(
SUMPRODUCT(
(tblTransactions[Symbol]=Calculations!A17)*
(tblTransactions[Buy/Sell]="Buy")*
(tblTransactions[Quantity])*
(tblTransactions[Price/Share])
)
/
SUMIFS(tblTransactions[Quantity],
tblTransactions[Symbol],Calculations!A17,
tblTransactions[Buy/Sell],"Buy"),0)</f>
        <v>0</v>
      </c>
      <c r="K17">
        <f t="shared" si="1"/>
        <v>0</v>
      </c>
      <c r="L17" s="41">
        <f t="shared" si="2"/>
        <v>0</v>
      </c>
    </row>
    <row r="18" spans="1:12" x14ac:dyDescent="0.3">
      <c r="A18">
        <v>17</v>
      </c>
      <c r="B18" t="s">
        <v>62</v>
      </c>
      <c r="C18" t="s">
        <v>63</v>
      </c>
      <c r="D18" t="s">
        <v>64</v>
      </c>
      <c r="E18" t="s">
        <v>65</v>
      </c>
      <c r="F18" t="s">
        <v>159</v>
      </c>
      <c r="G18">
        <f>SUMIFS(tblTransactions[Quantity],tblTransactions[Symbol],Calculations!A18,tblTransactions[Buy/Sell],"Buy")-SUMIFS(tblTransactions[Quantity],tblTransactions[Symbol],Calculations!A18,tblTransactions[Buy/Sell],"Sell")</f>
        <v>0</v>
      </c>
      <c r="H18">
        <f>_xlfn.XLOOKUP(Calculations!A18,tblPrices[Symbol],tblPrices[Current price],"")</f>
        <v>3162.4</v>
      </c>
      <c r="I18">
        <f t="shared" si="0"/>
        <v>0</v>
      </c>
      <c r="J18" cm="1">
        <f t="array" ref="J18">IFERROR(
SUMPRODUCT(
(tblTransactions[Symbol]=Calculations!A18)*
(tblTransactions[Buy/Sell]="Buy")*
(tblTransactions[Quantity])*
(tblTransactions[Price/Share])
)
/
SUMIFS(tblTransactions[Quantity],
tblTransactions[Symbol],Calculations!A18,
tblTransactions[Buy/Sell],"Buy"),0)</f>
        <v>0</v>
      </c>
      <c r="K18">
        <f t="shared" si="1"/>
        <v>0</v>
      </c>
      <c r="L18" s="41">
        <f t="shared" si="2"/>
        <v>0</v>
      </c>
    </row>
    <row r="19" spans="1:12" x14ac:dyDescent="0.3">
      <c r="A19">
        <v>18</v>
      </c>
      <c r="B19" t="s">
        <v>66</v>
      </c>
      <c r="C19" t="s">
        <v>67</v>
      </c>
      <c r="D19" t="s">
        <v>68</v>
      </c>
      <c r="E19" t="s">
        <v>69</v>
      </c>
      <c r="F19" t="s">
        <v>159</v>
      </c>
      <c r="G19">
        <f>SUMIFS(tblTransactions[Quantity],tblTransactions[Symbol],Calculations!A19,tblTransactions[Buy/Sell],"Buy")-SUMIFS(tblTransactions[Quantity],tblTransactions[Symbol],Calculations!A19,tblTransactions[Buy/Sell],"Sell")</f>
        <v>0</v>
      </c>
      <c r="H19">
        <f>_xlfn.XLOOKUP(Calculations!A19,tblPrices[Symbol],tblPrices[Current price],"")</f>
        <v>1075.5999999999999</v>
      </c>
      <c r="I19">
        <f t="shared" si="0"/>
        <v>0</v>
      </c>
      <c r="J19" cm="1">
        <f t="array" ref="J19">IFERROR(
SUMPRODUCT(
(tblTransactions[Symbol]=Calculations!A19)*
(tblTransactions[Buy/Sell]="Buy")*
(tblTransactions[Quantity])*
(tblTransactions[Price/Share])
)
/
SUMIFS(tblTransactions[Quantity],
tblTransactions[Symbol],Calculations!A19,
tblTransactions[Buy/Sell],"Buy"),0)</f>
        <v>0</v>
      </c>
      <c r="K19">
        <f t="shared" si="1"/>
        <v>0</v>
      </c>
      <c r="L19" s="41">
        <f t="shared" si="2"/>
        <v>0</v>
      </c>
    </row>
    <row r="20" spans="1:12" x14ac:dyDescent="0.3">
      <c r="A20">
        <v>19</v>
      </c>
      <c r="B20" t="s">
        <v>70</v>
      </c>
      <c r="C20" t="s">
        <v>71</v>
      </c>
      <c r="D20" t="s">
        <v>27</v>
      </c>
      <c r="E20" t="s">
        <v>28</v>
      </c>
      <c r="F20" t="s">
        <v>159</v>
      </c>
      <c r="G20">
        <f>SUMIFS(tblTransactions[Quantity],tblTransactions[Symbol],Calculations!A20,tblTransactions[Buy/Sell],"Buy")-SUMIFS(tblTransactions[Quantity],tblTransactions[Symbol],Calculations!A20,tblTransactions[Buy/Sell],"Sell")</f>
        <v>12</v>
      </c>
      <c r="H20">
        <f>_xlfn.XLOOKUP(Calculations!A20,tblPrices[Symbol],tblPrices[Current price],"")</f>
        <v>798.3</v>
      </c>
      <c r="I20">
        <f t="shared" si="0"/>
        <v>9579.5999999999985</v>
      </c>
      <c r="J20" cm="1">
        <f t="array" ref="J20">IFERROR(
SUMPRODUCT(
(tblTransactions[Symbol]=Calculations!A20)*
(tblTransactions[Buy/Sell]="Buy")*
(tblTransactions[Quantity])*
(tblTransactions[Price/Share])
)
/
SUMIFS(tblTransactions[Quantity],
tblTransactions[Symbol],Calculations!A20,
tblTransactions[Buy/Sell],"Buy"),0)</f>
        <v>1695</v>
      </c>
      <c r="K20">
        <f t="shared" si="1"/>
        <v>-10760.400000000001</v>
      </c>
      <c r="L20" s="41">
        <f t="shared" si="2"/>
        <v>-0.52902654867256649</v>
      </c>
    </row>
    <row r="21" spans="1:12" x14ac:dyDescent="0.3">
      <c r="A21">
        <v>20</v>
      </c>
      <c r="B21" t="s">
        <v>72</v>
      </c>
      <c r="C21" t="s">
        <v>73</v>
      </c>
      <c r="D21" t="s">
        <v>27</v>
      </c>
      <c r="E21" t="s">
        <v>74</v>
      </c>
      <c r="F21" t="s">
        <v>159</v>
      </c>
      <c r="G21">
        <f>SUMIFS(tblTransactions[Quantity],tblTransactions[Symbol],Calculations!A21,tblTransactions[Buy/Sell],"Buy")-SUMIFS(tblTransactions[Quantity],tblTransactions[Symbol],Calculations!A21,tblTransactions[Buy/Sell],"Sell")</f>
        <v>0</v>
      </c>
      <c r="H21">
        <f>_xlfn.XLOOKUP(Calculations!A21,tblPrices[Symbol],tblPrices[Current price],"")</f>
        <v>571.5</v>
      </c>
      <c r="I21">
        <f t="shared" si="0"/>
        <v>0</v>
      </c>
      <c r="J21" cm="1">
        <f t="array" ref="J21">IFERROR(
SUMPRODUCT(
(tblTransactions[Symbol]=Calculations!A21)*
(tblTransactions[Buy/Sell]="Buy")*
(tblTransactions[Quantity])*
(tblTransactions[Price/Share])
)
/
SUMIFS(tblTransactions[Quantity],
tblTransactions[Symbol],Calculations!A21,
tblTransactions[Buy/Sell],"Buy"),0)</f>
        <v>0</v>
      </c>
      <c r="K21">
        <f t="shared" si="1"/>
        <v>0</v>
      </c>
      <c r="L21" s="41">
        <f t="shared" si="2"/>
        <v>0</v>
      </c>
    </row>
    <row r="22" spans="1:12" x14ac:dyDescent="0.3">
      <c r="A22">
        <v>21</v>
      </c>
      <c r="B22" t="s">
        <v>75</v>
      </c>
      <c r="C22" t="s">
        <v>76</v>
      </c>
      <c r="D22" t="s">
        <v>31</v>
      </c>
      <c r="E22" t="s">
        <v>77</v>
      </c>
      <c r="F22" t="s">
        <v>159</v>
      </c>
      <c r="G22">
        <f>SUMIFS(tblTransactions[Quantity],tblTransactions[Symbol],Calculations!A22,tblTransactions[Buy/Sell],"Buy")-SUMIFS(tblTransactions[Quantity],tblTransactions[Symbol],Calculations!A22,tblTransactions[Buy/Sell],"Sell")</f>
        <v>0</v>
      </c>
      <c r="H22">
        <f>_xlfn.XLOOKUP(Calculations!A22,tblPrices[Symbol],tblPrices[Current price],"")</f>
        <v>4817.2</v>
      </c>
      <c r="I22">
        <f t="shared" si="0"/>
        <v>0</v>
      </c>
      <c r="J22" cm="1">
        <f t="array" ref="J22">IFERROR(
SUMPRODUCT(
(tblTransactions[Symbol]=Calculations!A22)*
(tblTransactions[Buy/Sell]="Buy")*
(tblTransactions[Quantity])*
(tblTransactions[Price/Share])
)
/
SUMIFS(tblTransactions[Quantity],
tblTransactions[Symbol],Calculations!A22,
tblTransactions[Buy/Sell],"Buy"),0)</f>
        <v>0</v>
      </c>
      <c r="K22">
        <f t="shared" si="1"/>
        <v>0</v>
      </c>
      <c r="L22" s="41">
        <f t="shared" si="2"/>
        <v>0</v>
      </c>
    </row>
    <row r="23" spans="1:12" x14ac:dyDescent="0.3">
      <c r="A23">
        <v>22</v>
      </c>
      <c r="B23" t="s">
        <v>78</v>
      </c>
      <c r="C23" t="s">
        <v>79</v>
      </c>
      <c r="D23" t="s">
        <v>64</v>
      </c>
      <c r="E23" t="s">
        <v>80</v>
      </c>
      <c r="F23" t="s">
        <v>159</v>
      </c>
      <c r="G23">
        <f>SUMIFS(tblTransactions[Quantity],tblTransactions[Symbol],Calculations!A23,tblTransactions[Buy/Sell],"Buy")-SUMIFS(tblTransactions[Quantity],tblTransactions[Symbol],Calculations!A23,tblTransactions[Buy/Sell],"Sell")</f>
        <v>0</v>
      </c>
      <c r="H23">
        <f>_xlfn.XLOOKUP(Calculations!A23,tblPrices[Symbol],tblPrices[Current price],"")</f>
        <v>956.7</v>
      </c>
      <c r="I23">
        <f t="shared" si="0"/>
        <v>0</v>
      </c>
      <c r="J23" cm="1">
        <f t="array" ref="J23">IFERROR(
SUMPRODUCT(
(tblTransactions[Symbol]=Calculations!A23)*
(tblTransactions[Buy/Sell]="Buy")*
(tblTransactions[Quantity])*
(tblTransactions[Price/Share])
)
/
SUMIFS(tblTransactions[Quantity],
tblTransactions[Symbol],Calculations!A23,
tblTransactions[Buy/Sell],"Buy"),0)</f>
        <v>0</v>
      </c>
      <c r="K23">
        <f t="shared" si="1"/>
        <v>0</v>
      </c>
      <c r="L23" s="41">
        <f t="shared" si="2"/>
        <v>0</v>
      </c>
    </row>
    <row r="24" spans="1:12" x14ac:dyDescent="0.3">
      <c r="A24">
        <v>23</v>
      </c>
      <c r="B24" t="s">
        <v>81</v>
      </c>
      <c r="C24" t="s">
        <v>82</v>
      </c>
      <c r="D24" t="s">
        <v>23</v>
      </c>
      <c r="E24" t="s">
        <v>83</v>
      </c>
      <c r="F24" t="s">
        <v>159</v>
      </c>
      <c r="G24">
        <f>SUMIFS(tblTransactions[Quantity],tblTransactions[Symbol],Calculations!A24,tblTransactions[Buy/Sell],"Buy")-SUMIFS(tblTransactions[Quantity],tblTransactions[Symbol],Calculations!A24,tblTransactions[Buy/Sell],"Sell")</f>
        <v>0</v>
      </c>
      <c r="H24">
        <f>_xlfn.XLOOKUP(Calculations!A24,tblPrices[Symbol],tblPrices[Current price],"")</f>
        <v>2183.9</v>
      </c>
      <c r="I24">
        <f t="shared" si="0"/>
        <v>0</v>
      </c>
      <c r="J24" cm="1">
        <f t="array" ref="J24">IFERROR(
SUMPRODUCT(
(tblTransactions[Symbol]=Calculations!A24)*
(tblTransactions[Buy/Sell]="Buy")*
(tblTransactions[Quantity])*
(tblTransactions[Price/Share])
)
/
SUMIFS(tblTransactions[Quantity],
tblTransactions[Symbol],Calculations!A24,
tblTransactions[Buy/Sell],"Buy"),0)</f>
        <v>0</v>
      </c>
      <c r="K24">
        <f t="shared" si="1"/>
        <v>0</v>
      </c>
      <c r="L24" s="41">
        <f t="shared" si="2"/>
        <v>0</v>
      </c>
    </row>
    <row r="25" spans="1:12" x14ac:dyDescent="0.3">
      <c r="A25">
        <v>24</v>
      </c>
      <c r="B25" t="s">
        <v>84</v>
      </c>
      <c r="C25" t="s">
        <v>85</v>
      </c>
      <c r="D25" t="s">
        <v>27</v>
      </c>
      <c r="E25" t="s">
        <v>28</v>
      </c>
      <c r="F25" t="s">
        <v>159</v>
      </c>
      <c r="G25">
        <f>SUMIFS(tblTransactions[Quantity],tblTransactions[Symbol],Calculations!A25,tblTransactions[Buy/Sell],"Buy")-SUMIFS(tblTransactions[Quantity],tblTransactions[Symbol],Calculations!A25,tblTransactions[Buy/Sell],"Sell")</f>
        <v>0</v>
      </c>
      <c r="H25">
        <f>_xlfn.XLOOKUP(Calculations!A25,tblPrices[Symbol],tblPrices[Current price],"")</f>
        <v>1388.8</v>
      </c>
      <c r="I25">
        <f t="shared" si="0"/>
        <v>0</v>
      </c>
      <c r="J25" cm="1">
        <f t="array" ref="J25">IFERROR(
SUMPRODUCT(
(tblTransactions[Symbol]=Calculations!A25)*
(tblTransactions[Buy/Sell]="Buy")*
(tblTransactions[Quantity])*
(tblTransactions[Price/Share])
)
/
SUMIFS(tblTransactions[Quantity],
tblTransactions[Symbol],Calculations!A25,
tblTransactions[Buy/Sell],"Buy"),0)</f>
        <v>0</v>
      </c>
      <c r="K25">
        <f t="shared" si="1"/>
        <v>0</v>
      </c>
      <c r="L25" s="41">
        <f t="shared" si="2"/>
        <v>0</v>
      </c>
    </row>
    <row r="26" spans="1:12" x14ac:dyDescent="0.3">
      <c r="A26">
        <v>25</v>
      </c>
      <c r="B26" t="s">
        <v>86</v>
      </c>
      <c r="C26" t="s">
        <v>87</v>
      </c>
      <c r="D26" t="s">
        <v>27</v>
      </c>
      <c r="E26" t="s">
        <v>28</v>
      </c>
      <c r="F26" t="s">
        <v>159</v>
      </c>
      <c r="G26">
        <f>SUMIFS(tblTransactions[Quantity],tblTransactions[Symbol],Calculations!A26,tblTransactions[Buy/Sell],"Buy")-SUMIFS(tblTransactions[Quantity],tblTransactions[Symbol],Calculations!A26,tblTransactions[Buy/Sell],"Sell")</f>
        <v>0</v>
      </c>
      <c r="H26">
        <f>_xlfn.XLOOKUP(Calculations!A26,tblPrices[Symbol],tblPrices[Current price],"")</f>
        <v>936</v>
      </c>
      <c r="I26">
        <f t="shared" si="0"/>
        <v>0</v>
      </c>
      <c r="J26" cm="1">
        <f t="array" ref="J26">IFERROR(
SUMPRODUCT(
(tblTransactions[Symbol]=Calculations!A26)*
(tblTransactions[Buy/Sell]="Buy")*
(tblTransactions[Quantity])*
(tblTransactions[Price/Share])
)
/
SUMIFS(tblTransactions[Quantity],
tblTransactions[Symbol],Calculations!A26,
tblTransactions[Buy/Sell],"Buy"),0)</f>
        <v>0</v>
      </c>
      <c r="K26">
        <f t="shared" si="1"/>
        <v>0</v>
      </c>
      <c r="L26" s="41">
        <f t="shared" si="2"/>
        <v>0</v>
      </c>
    </row>
    <row r="27" spans="1:12" x14ac:dyDescent="0.3">
      <c r="A27">
        <v>26</v>
      </c>
      <c r="B27" t="s">
        <v>88</v>
      </c>
      <c r="C27" t="s">
        <v>89</v>
      </c>
      <c r="D27" t="s">
        <v>68</v>
      </c>
      <c r="E27" t="s">
        <v>69</v>
      </c>
      <c r="F27" t="s">
        <v>159</v>
      </c>
      <c r="G27">
        <f>SUMIFS(tblTransactions[Quantity],tblTransactions[Symbol],Calculations!A27,tblTransactions[Buy/Sell],"Buy")-SUMIFS(tblTransactions[Quantity],tblTransactions[Symbol],Calculations!A27,tblTransactions[Buy/Sell],"Sell")</f>
        <v>15</v>
      </c>
      <c r="H27">
        <f>_xlfn.XLOOKUP(Calculations!A27,tblPrices[Symbol],tblPrices[Current price],"")</f>
        <v>1036</v>
      </c>
      <c r="I27">
        <f t="shared" si="0"/>
        <v>15540</v>
      </c>
      <c r="J27" cm="1">
        <f t="array" ref="J27">IFERROR(
SUMPRODUCT(
(tblTransactions[Symbol]=Calculations!A27)*
(tblTransactions[Buy/Sell]="Buy")*
(tblTransactions[Quantity])*
(tblTransactions[Price/Share])
)
/
SUMIFS(tblTransactions[Quantity],
tblTransactions[Symbol],Calculations!A27,
tblTransactions[Buy/Sell],"Buy"),0)</f>
        <v>1803.3333333333333</v>
      </c>
      <c r="K27">
        <f t="shared" si="1"/>
        <v>-11510</v>
      </c>
      <c r="L27" s="41">
        <f t="shared" si="2"/>
        <v>-0.42550831792975968</v>
      </c>
    </row>
    <row r="28" spans="1:12" x14ac:dyDescent="0.3">
      <c r="A28">
        <v>27</v>
      </c>
      <c r="B28" t="s">
        <v>90</v>
      </c>
      <c r="C28" t="s">
        <v>90</v>
      </c>
      <c r="D28" t="s">
        <v>23</v>
      </c>
      <c r="E28" t="s">
        <v>91</v>
      </c>
      <c r="F28" t="s">
        <v>159</v>
      </c>
      <c r="G28">
        <f>SUMIFS(tblTransactions[Quantity],tblTransactions[Symbol],Calculations!A28,tblTransactions[Buy/Sell],"Buy")-SUMIFS(tblTransactions[Quantity],tblTransactions[Symbol],Calculations!A28,tblTransactions[Buy/Sell],"Sell")</f>
        <v>0</v>
      </c>
      <c r="H28">
        <f>_xlfn.XLOOKUP(Calculations!A28,tblPrices[Symbol],tblPrices[Current price],"")</f>
        <v>289.05</v>
      </c>
      <c r="I28">
        <f t="shared" si="0"/>
        <v>0</v>
      </c>
      <c r="J28" cm="1">
        <f t="array" ref="J28">IFERROR(
SUMPRODUCT(
(tblTransactions[Symbol]=Calculations!A28)*
(tblTransactions[Buy/Sell]="Buy")*
(tblTransactions[Quantity])*
(tblTransactions[Price/Share])
)
/
SUMIFS(tblTransactions[Quantity],
tblTransactions[Symbol],Calculations!A28,
tblTransactions[Buy/Sell],"Buy"),0)</f>
        <v>0</v>
      </c>
      <c r="K28">
        <f t="shared" si="1"/>
        <v>0</v>
      </c>
      <c r="L28" s="41">
        <f t="shared" si="2"/>
        <v>0</v>
      </c>
    </row>
    <row r="29" spans="1:12" x14ac:dyDescent="0.3">
      <c r="A29">
        <v>28</v>
      </c>
      <c r="B29" t="s">
        <v>92</v>
      </c>
      <c r="C29" t="s">
        <v>93</v>
      </c>
      <c r="D29" t="s">
        <v>64</v>
      </c>
      <c r="E29" t="s">
        <v>94</v>
      </c>
      <c r="F29" t="s">
        <v>159</v>
      </c>
      <c r="G29">
        <f>SUMIFS(tblTransactions[Quantity],tblTransactions[Symbol],Calculations!A29,tblTransactions[Buy/Sell],"Buy")-SUMIFS(tblTransactions[Quantity],tblTransactions[Symbol],Calculations!A29,tblTransactions[Buy/Sell],"Sell")</f>
        <v>0</v>
      </c>
      <c r="H29">
        <f>_xlfn.XLOOKUP(Calculations!A29,tblPrices[Symbol],tblPrices[Current price],"")</f>
        <v>1228.8</v>
      </c>
      <c r="I29">
        <f t="shared" si="0"/>
        <v>0</v>
      </c>
      <c r="J29" cm="1">
        <f t="array" ref="J29">IFERROR(
SUMPRODUCT(
(tblTransactions[Symbol]=Calculations!A29)*
(tblTransactions[Buy/Sell]="Buy")*
(tblTransactions[Quantity])*
(tblTransactions[Price/Share])
)
/
SUMIFS(tblTransactions[Quantity],
tblTransactions[Symbol],Calculations!A29,
tblTransactions[Buy/Sell],"Buy"),0)</f>
        <v>0</v>
      </c>
      <c r="K29">
        <f t="shared" si="1"/>
        <v>0</v>
      </c>
      <c r="L29" s="41">
        <f t="shared" si="2"/>
        <v>0</v>
      </c>
    </row>
    <row r="30" spans="1:12" x14ac:dyDescent="0.3">
      <c r="A30">
        <v>29</v>
      </c>
      <c r="B30" t="s">
        <v>95</v>
      </c>
      <c r="C30" t="s">
        <v>96</v>
      </c>
      <c r="D30" t="s">
        <v>27</v>
      </c>
      <c r="E30" t="s">
        <v>28</v>
      </c>
      <c r="F30" t="s">
        <v>159</v>
      </c>
      <c r="G30">
        <f>SUMIFS(tblTransactions[Quantity],tblTransactions[Symbol],Calculations!A30,tblTransactions[Buy/Sell],"Buy")-SUMIFS(tblTransactions[Quantity],tblTransactions[Symbol],Calculations!A30,tblTransactions[Buy/Sell],"Sell")</f>
        <v>0</v>
      </c>
      <c r="H30">
        <f>_xlfn.XLOOKUP(Calculations!A30,tblPrices[Symbol],tblPrices[Current price],"")</f>
        <v>399.2</v>
      </c>
      <c r="I30">
        <f t="shared" si="0"/>
        <v>0</v>
      </c>
      <c r="J30" cm="1">
        <f t="array" ref="J30">IFERROR(
SUMPRODUCT(
(tblTransactions[Symbol]=Calculations!A30)*
(tblTransactions[Buy/Sell]="Buy")*
(tblTransactions[Quantity])*
(tblTransactions[Price/Share])
)
/
SUMIFS(tblTransactions[Quantity],
tblTransactions[Symbol],Calculations!A30,
tblTransactions[Buy/Sell],"Buy"),0)</f>
        <v>0</v>
      </c>
      <c r="K30">
        <f t="shared" si="1"/>
        <v>0</v>
      </c>
      <c r="L30" s="41">
        <f t="shared" si="2"/>
        <v>0</v>
      </c>
    </row>
    <row r="31" spans="1:12" x14ac:dyDescent="0.3">
      <c r="A31">
        <v>30</v>
      </c>
      <c r="B31" t="s">
        <v>97</v>
      </c>
      <c r="C31" t="s">
        <v>98</v>
      </c>
      <c r="D31" t="s">
        <v>15</v>
      </c>
      <c r="E31" t="s">
        <v>99</v>
      </c>
      <c r="F31" t="s">
        <v>159</v>
      </c>
      <c r="G31">
        <f>SUMIFS(tblTransactions[Quantity],tblTransactions[Symbol],Calculations!A31,tblTransactions[Buy/Sell],"Buy")-SUMIFS(tblTransactions[Quantity],tblTransactions[Symbol],Calculations!A31,tblTransactions[Buy/Sell],"Sell")</f>
        <v>0</v>
      </c>
      <c r="H31">
        <f>_xlfn.XLOOKUP(Calculations!A31,tblPrices[Symbol],tblPrices[Current price],"")</f>
        <v>4044.4</v>
      </c>
      <c r="I31">
        <f t="shared" si="0"/>
        <v>0</v>
      </c>
      <c r="J31" cm="1">
        <f t="array" ref="J31">IFERROR(
SUMPRODUCT(
(tblTransactions[Symbol]=Calculations!A31)*
(tblTransactions[Buy/Sell]="Buy")*
(tblTransactions[Quantity])*
(tblTransactions[Price/Share])
)
/
SUMIFS(tblTransactions[Quantity],
tblTransactions[Symbol],Calculations!A31,
tblTransactions[Buy/Sell],"Buy"),0)</f>
        <v>0</v>
      </c>
      <c r="K31">
        <f t="shared" si="1"/>
        <v>0</v>
      </c>
      <c r="L31" s="41">
        <f t="shared" si="2"/>
        <v>0</v>
      </c>
    </row>
    <row r="32" spans="1:12" x14ac:dyDescent="0.3">
      <c r="A32">
        <v>31</v>
      </c>
      <c r="B32" t="s">
        <v>100</v>
      </c>
      <c r="C32" t="s">
        <v>101</v>
      </c>
      <c r="D32" t="s">
        <v>31</v>
      </c>
      <c r="E32" t="s">
        <v>102</v>
      </c>
      <c r="F32" t="s">
        <v>159</v>
      </c>
      <c r="G32">
        <f>SUMIFS(tblTransactions[Quantity],tblTransactions[Symbol],Calculations!A32,tblTransactions[Buy/Sell],"Buy")-SUMIFS(tblTransactions[Quantity],tblTransactions[Symbol],Calculations!A32,tblTransactions[Buy/Sell],"Sell")</f>
        <v>0</v>
      </c>
      <c r="H32">
        <f>_xlfn.XLOOKUP(Calculations!A32,tblPrices[Symbol],tblPrices[Current price],"")</f>
        <v>3117.6</v>
      </c>
      <c r="I32">
        <f t="shared" si="0"/>
        <v>0</v>
      </c>
      <c r="J32" cm="1">
        <f t="array" ref="J32">IFERROR(
SUMPRODUCT(
(tblTransactions[Symbol]=Calculations!A32)*
(tblTransactions[Buy/Sell]="Buy")*
(tblTransactions[Quantity])*
(tblTransactions[Price/Share])
)
/
SUMIFS(tblTransactions[Quantity],
tblTransactions[Symbol],Calculations!A32,
tblTransactions[Buy/Sell],"Buy"),0)</f>
        <v>0</v>
      </c>
      <c r="K32">
        <f t="shared" si="1"/>
        <v>0</v>
      </c>
      <c r="L32" s="41">
        <f t="shared" si="2"/>
        <v>0</v>
      </c>
    </row>
    <row r="33" spans="1:12" x14ac:dyDescent="0.3">
      <c r="A33">
        <v>32</v>
      </c>
      <c r="B33" t="s">
        <v>103</v>
      </c>
      <c r="C33" t="s">
        <v>104</v>
      </c>
      <c r="D33" t="s">
        <v>31</v>
      </c>
      <c r="E33" t="s">
        <v>105</v>
      </c>
      <c r="F33" t="s">
        <v>159</v>
      </c>
      <c r="G33">
        <f>SUMIFS(tblTransactions[Quantity],tblTransactions[Symbol],Calculations!A33,tblTransactions[Buy/Sell],"Buy")-SUMIFS(tblTransactions[Quantity],tblTransactions[Symbol],Calculations!A33,tblTransactions[Buy/Sell],"Sell")</f>
        <v>0</v>
      </c>
      <c r="H33">
        <f>_xlfn.XLOOKUP(Calculations!A33,tblPrices[Symbol],tblPrices[Current price],"")</f>
        <v>14377</v>
      </c>
      <c r="I33">
        <f t="shared" si="0"/>
        <v>0</v>
      </c>
      <c r="J33" cm="1">
        <f t="array" ref="J33">IFERROR(
SUMPRODUCT(
(tblTransactions[Symbol]=Calculations!A33)*
(tblTransactions[Buy/Sell]="Buy")*
(tblTransactions[Quantity])*
(tblTransactions[Price/Share])
)
/
SUMIFS(tblTransactions[Quantity],
tblTransactions[Symbol],Calculations!A33,
tblTransactions[Buy/Sell],"Buy"),0)</f>
        <v>0</v>
      </c>
      <c r="K33">
        <f t="shared" si="1"/>
        <v>0</v>
      </c>
      <c r="L33" s="41">
        <f t="shared" si="2"/>
        <v>0</v>
      </c>
    </row>
    <row r="34" spans="1:12" x14ac:dyDescent="0.3">
      <c r="A34">
        <v>33</v>
      </c>
      <c r="B34" t="s">
        <v>106</v>
      </c>
      <c r="C34" t="s">
        <v>107</v>
      </c>
      <c r="D34" t="s">
        <v>23</v>
      </c>
      <c r="E34" t="s">
        <v>108</v>
      </c>
      <c r="F34" t="s">
        <v>159</v>
      </c>
      <c r="G34">
        <f>SUMIFS(tblTransactions[Quantity],tblTransactions[Symbol],Calculations!A34,tblTransactions[Buy/Sell],"Buy")-SUMIFS(tblTransactions[Quantity],tblTransactions[Symbol],Calculations!A34,tblTransactions[Buy/Sell],"Sell")</f>
        <v>0</v>
      </c>
      <c r="H34">
        <f>_xlfn.XLOOKUP(Calculations!A34,tblPrices[Symbol],tblPrices[Current price],"")</f>
        <v>1456.9</v>
      </c>
      <c r="I34">
        <f t="shared" ref="I34:I65" si="3">G34*H34</f>
        <v>0</v>
      </c>
      <c r="J34" cm="1">
        <f t="array" ref="J34">IFERROR(
SUMPRODUCT(
(tblTransactions[Symbol]=Calculations!A34)*
(tblTransactions[Buy/Sell]="Buy")*
(tblTransactions[Quantity])*
(tblTransactions[Price/Share])
)
/
SUMIFS(tblTransactions[Quantity],
tblTransactions[Symbol],Calculations!A34,
tblTransactions[Buy/Sell],"Buy"),0)</f>
        <v>0</v>
      </c>
      <c r="K34">
        <f t="shared" ref="K34:K65" si="4">I34-(G34*J34)</f>
        <v>0</v>
      </c>
      <c r="L34" s="41">
        <f t="shared" ref="L34:L65" si="5">IFERROR(K34/(G34*J34),0)</f>
        <v>0</v>
      </c>
    </row>
    <row r="35" spans="1:12" x14ac:dyDescent="0.3">
      <c r="A35">
        <v>34</v>
      </c>
      <c r="B35" t="s">
        <v>109</v>
      </c>
      <c r="C35" t="s">
        <v>109</v>
      </c>
      <c r="D35" t="s">
        <v>110</v>
      </c>
      <c r="E35" t="s">
        <v>111</v>
      </c>
      <c r="F35" t="s">
        <v>159</v>
      </c>
      <c r="G35">
        <f>SUMIFS(tblTransactions[Quantity],tblTransactions[Symbol],Calculations!A35,tblTransactions[Buy/Sell],"Buy")-SUMIFS(tblTransactions[Quantity],tblTransactions[Symbol],Calculations!A35,tblTransactions[Buy/Sell],"Sell")</f>
        <v>0</v>
      </c>
      <c r="H35">
        <f>_xlfn.XLOOKUP(Calculations!A35,tblPrices[Symbol],tblPrices[Current price],"")</f>
        <v>358.8</v>
      </c>
      <c r="I35">
        <f t="shared" si="3"/>
        <v>0</v>
      </c>
      <c r="J35" cm="1">
        <f t="array" ref="J35">IFERROR(
SUMPRODUCT(
(tblTransactions[Symbol]=Calculations!A35)*
(tblTransactions[Buy/Sell]="Buy")*
(tblTransactions[Quantity])*
(tblTransactions[Price/Share])
)
/
SUMIFS(tblTransactions[Quantity],
tblTransactions[Symbol],Calculations!A35,
tblTransactions[Buy/Sell],"Buy"),0)</f>
        <v>0</v>
      </c>
      <c r="K35">
        <f t="shared" si="4"/>
        <v>0</v>
      </c>
      <c r="L35" s="41">
        <f t="shared" si="5"/>
        <v>0</v>
      </c>
    </row>
    <row r="36" spans="1:12" x14ac:dyDescent="0.3">
      <c r="A36">
        <v>35</v>
      </c>
      <c r="B36" t="s">
        <v>112</v>
      </c>
      <c r="C36" t="s">
        <v>113</v>
      </c>
      <c r="D36" t="s">
        <v>11</v>
      </c>
      <c r="E36" t="s">
        <v>114</v>
      </c>
      <c r="F36" t="s">
        <v>159</v>
      </c>
      <c r="G36">
        <f>SUMIFS(tblTransactions[Quantity],tblTransactions[Symbol],Calculations!A36,tblTransactions[Buy/Sell],"Buy")-SUMIFS(tblTransactions[Quantity],tblTransactions[Symbol],Calculations!A36,tblTransactions[Buy/Sell],"Sell")</f>
        <v>0</v>
      </c>
      <c r="H36">
        <f>_xlfn.XLOOKUP(Calculations!A36,tblPrices[Symbol],tblPrices[Current price],"")</f>
        <v>235.25</v>
      </c>
      <c r="I36">
        <f t="shared" si="3"/>
        <v>0</v>
      </c>
      <c r="J36" cm="1">
        <f t="array" ref="J36">IFERROR(
SUMPRODUCT(
(tblTransactions[Symbol]=Calculations!A36)*
(tblTransactions[Buy/Sell]="Buy")*
(tblTransactions[Quantity])*
(tblTransactions[Price/Share])
)
/
SUMIFS(tblTransactions[Quantity],
tblTransactions[Symbol],Calculations!A36,
tblTransactions[Buy/Sell],"Buy"),0)</f>
        <v>0</v>
      </c>
      <c r="K36">
        <f t="shared" si="4"/>
        <v>0</v>
      </c>
      <c r="L36" s="41">
        <f t="shared" si="5"/>
        <v>0</v>
      </c>
    </row>
    <row r="37" spans="1:12" x14ac:dyDescent="0.3">
      <c r="A37">
        <v>36</v>
      </c>
      <c r="B37" t="s">
        <v>115</v>
      </c>
      <c r="C37" t="s">
        <v>116</v>
      </c>
      <c r="D37" t="s">
        <v>110</v>
      </c>
      <c r="E37" t="s">
        <v>117</v>
      </c>
      <c r="F37" t="s">
        <v>159</v>
      </c>
      <c r="G37">
        <f>SUMIFS(tblTransactions[Quantity],tblTransactions[Symbol],Calculations!A37,tblTransactions[Buy/Sell],"Buy")-SUMIFS(tblTransactions[Quantity],tblTransactions[Symbol],Calculations!A37,tblTransactions[Buy/Sell],"Sell")</f>
        <v>0</v>
      </c>
      <c r="H37">
        <f>_xlfn.XLOOKUP(Calculations!A37,tblPrices[Symbol],tblPrices[Current price],"")</f>
        <v>288.8</v>
      </c>
      <c r="I37">
        <f t="shared" si="3"/>
        <v>0</v>
      </c>
      <c r="J37" cm="1">
        <f t="array" ref="J37">IFERROR(
SUMPRODUCT(
(tblTransactions[Symbol]=Calculations!A37)*
(tblTransactions[Buy/Sell]="Buy")*
(tblTransactions[Quantity])*
(tblTransactions[Price/Share])
)
/
SUMIFS(tblTransactions[Quantity],
tblTransactions[Symbol],Calculations!A37,
tblTransactions[Buy/Sell],"Buy"),0)</f>
        <v>0</v>
      </c>
      <c r="K37">
        <f t="shared" si="4"/>
        <v>0</v>
      </c>
      <c r="L37" s="41">
        <f t="shared" si="5"/>
        <v>0</v>
      </c>
    </row>
    <row r="38" spans="1:12" x14ac:dyDescent="0.3">
      <c r="A38">
        <v>37</v>
      </c>
      <c r="B38" t="s">
        <v>118</v>
      </c>
      <c r="C38" t="s">
        <v>119</v>
      </c>
      <c r="D38" t="s">
        <v>11</v>
      </c>
      <c r="E38" t="s">
        <v>120</v>
      </c>
      <c r="F38" t="s">
        <v>159</v>
      </c>
      <c r="G38">
        <f>SUMIFS(tblTransactions[Quantity],tblTransactions[Symbol],Calculations!A38,tblTransactions[Buy/Sell],"Buy")-SUMIFS(tblTransactions[Quantity],tblTransactions[Symbol],Calculations!A38,tblTransactions[Buy/Sell],"Sell")</f>
        <v>0</v>
      </c>
      <c r="H38">
        <f>_xlfn.XLOOKUP(Calculations!A38,tblPrices[Symbol],tblPrices[Current price],"")</f>
        <v>1303.0999999999999</v>
      </c>
      <c r="I38">
        <f t="shared" si="3"/>
        <v>0</v>
      </c>
      <c r="J38" cm="1">
        <f t="array" ref="J38">IFERROR(
SUMPRODUCT(
(tblTransactions[Symbol]=Calculations!A38)*
(tblTransactions[Buy/Sell]="Buy")*
(tblTransactions[Quantity])*
(tblTransactions[Price/Share])
)
/
SUMIFS(tblTransactions[Quantity],
tblTransactions[Symbol],Calculations!A38,
tblTransactions[Buy/Sell],"Buy"),0)</f>
        <v>0</v>
      </c>
      <c r="K38">
        <f t="shared" si="4"/>
        <v>0</v>
      </c>
      <c r="L38" s="41">
        <f t="shared" si="5"/>
        <v>0</v>
      </c>
    </row>
    <row r="39" spans="1:12" x14ac:dyDescent="0.3">
      <c r="A39">
        <v>38</v>
      </c>
      <c r="B39" t="s">
        <v>121</v>
      </c>
      <c r="C39" t="s">
        <v>122</v>
      </c>
      <c r="D39" t="s">
        <v>27</v>
      </c>
      <c r="E39" t="s">
        <v>74</v>
      </c>
      <c r="F39" t="s">
        <v>159</v>
      </c>
      <c r="G39">
        <f>SUMIFS(tblTransactions[Quantity],tblTransactions[Symbol],Calculations!A39,tblTransactions[Buy/Sell],"Buy")-SUMIFS(tblTransactions[Quantity],tblTransactions[Symbol],Calculations!A39,tblTransactions[Buy/Sell],"Sell")</f>
        <v>0</v>
      </c>
      <c r="H39">
        <f>_xlfn.XLOOKUP(Calculations!A39,tblPrices[Symbol],tblPrices[Current price],"")</f>
        <v>1776.8</v>
      </c>
      <c r="I39">
        <f t="shared" si="3"/>
        <v>0</v>
      </c>
      <c r="J39" cm="1">
        <f t="array" ref="J39">IFERROR(
SUMPRODUCT(
(tblTransactions[Symbol]=Calculations!A39)*
(tblTransactions[Buy/Sell]="Buy")*
(tblTransactions[Quantity])*
(tblTransactions[Price/Share])
)
/
SUMIFS(tblTransactions[Quantity],
tblTransactions[Symbol],Calculations!A39,
tblTransactions[Buy/Sell],"Buy"),0)</f>
        <v>0</v>
      </c>
      <c r="K39">
        <f t="shared" si="4"/>
        <v>0</v>
      </c>
      <c r="L39" s="41">
        <f t="shared" si="5"/>
        <v>0</v>
      </c>
    </row>
    <row r="40" spans="1:12" x14ac:dyDescent="0.3">
      <c r="A40">
        <v>39</v>
      </c>
      <c r="B40" t="s">
        <v>123</v>
      </c>
      <c r="C40" t="s">
        <v>124</v>
      </c>
      <c r="D40" t="s">
        <v>27</v>
      </c>
      <c r="E40" t="s">
        <v>35</v>
      </c>
      <c r="F40" t="s">
        <v>159</v>
      </c>
      <c r="G40">
        <f>SUMIFS(tblTransactions[Quantity],tblTransactions[Symbol],Calculations!A40,tblTransactions[Buy/Sell],"Buy")-SUMIFS(tblTransactions[Quantity],tblTransactions[Symbol],Calculations!A40,tblTransactions[Buy/Sell],"Sell")</f>
        <v>0</v>
      </c>
      <c r="H40">
        <f>_xlfn.XLOOKUP(Calculations!A40,tblPrices[Symbol],tblPrices[Current price],"")</f>
        <v>1064.5999999999999</v>
      </c>
      <c r="I40">
        <f t="shared" si="3"/>
        <v>0</v>
      </c>
      <c r="J40" cm="1">
        <f t="array" ref="J40">IFERROR(
SUMPRODUCT(
(tblTransactions[Symbol]=Calculations!A40)*
(tblTransactions[Buy/Sell]="Buy")*
(tblTransactions[Quantity])*
(tblTransactions[Price/Share])
)
/
SUMIFS(tblTransactions[Quantity],
tblTransactions[Symbol],Calculations!A40,
tblTransactions[Buy/Sell],"Buy"),0)</f>
        <v>0</v>
      </c>
      <c r="K40">
        <f t="shared" si="4"/>
        <v>0</v>
      </c>
      <c r="L40" s="41">
        <f t="shared" si="5"/>
        <v>0</v>
      </c>
    </row>
    <row r="41" spans="1:12" x14ac:dyDescent="0.3">
      <c r="A41">
        <v>40</v>
      </c>
      <c r="B41" t="s">
        <v>125</v>
      </c>
      <c r="C41" t="s">
        <v>126</v>
      </c>
      <c r="D41" t="s">
        <v>27</v>
      </c>
      <c r="E41" t="s">
        <v>127</v>
      </c>
      <c r="F41" t="s">
        <v>159</v>
      </c>
      <c r="G41">
        <f>SUMIFS(tblTransactions[Quantity],tblTransactions[Symbol],Calculations!A41,tblTransactions[Buy/Sell],"Buy")-SUMIFS(tblTransactions[Quantity],tblTransactions[Symbol],Calculations!A41,tblTransactions[Buy/Sell],"Sell")</f>
        <v>0</v>
      </c>
      <c r="H41">
        <f>_xlfn.XLOOKUP(Calculations!A41,tblPrices[Symbol],tblPrices[Current price],"")</f>
        <v>1053.7</v>
      </c>
      <c r="I41">
        <f t="shared" si="3"/>
        <v>0</v>
      </c>
      <c r="J41" cm="1">
        <f t="array" ref="J41">IFERROR(
SUMPRODUCT(
(tblTransactions[Symbol]=Calculations!A41)*
(tblTransactions[Buy/Sell]="Buy")*
(tblTransactions[Quantity])*
(tblTransactions[Price/Share])
)
/
SUMIFS(tblTransactions[Quantity],
tblTransactions[Symbol],Calculations!A41,
tblTransactions[Buy/Sell],"Buy"),0)</f>
        <v>0</v>
      </c>
      <c r="K41">
        <f t="shared" si="4"/>
        <v>0</v>
      </c>
      <c r="L41" s="41">
        <f t="shared" si="5"/>
        <v>0</v>
      </c>
    </row>
    <row r="42" spans="1:12" x14ac:dyDescent="0.3">
      <c r="A42">
        <v>41</v>
      </c>
      <c r="B42" t="s">
        <v>128</v>
      </c>
      <c r="C42" t="s">
        <v>129</v>
      </c>
      <c r="D42" t="s">
        <v>19</v>
      </c>
      <c r="E42" t="s">
        <v>53</v>
      </c>
      <c r="F42" t="s">
        <v>159</v>
      </c>
      <c r="G42">
        <f>SUMIFS(tblTransactions[Quantity],tblTransactions[Symbol],Calculations!A42,tblTransactions[Buy/Sell],"Buy")-SUMIFS(tblTransactions[Quantity],tblTransactions[Symbol],Calculations!A42,tblTransactions[Buy/Sell],"Sell")</f>
        <v>0</v>
      </c>
      <c r="H42">
        <f>_xlfn.XLOOKUP(Calculations!A42,tblPrices[Symbol],tblPrices[Current price],"")</f>
        <v>1878.1</v>
      </c>
      <c r="I42">
        <f t="shared" si="3"/>
        <v>0</v>
      </c>
      <c r="J42" cm="1">
        <f t="array" ref="J42">IFERROR(
SUMPRODUCT(
(tblTransactions[Symbol]=Calculations!A42)*
(tblTransactions[Buy/Sell]="Buy")*
(tblTransactions[Quantity])*
(tblTransactions[Price/Share])
)
/
SUMIFS(tblTransactions[Quantity],
tblTransactions[Symbol],Calculations!A42,
tblTransactions[Buy/Sell],"Buy"),0)</f>
        <v>0</v>
      </c>
      <c r="K42">
        <f t="shared" si="4"/>
        <v>0</v>
      </c>
      <c r="L42" s="41">
        <f t="shared" si="5"/>
        <v>0</v>
      </c>
    </row>
    <row r="43" spans="1:12" x14ac:dyDescent="0.3">
      <c r="A43">
        <v>42</v>
      </c>
      <c r="B43" t="s">
        <v>130</v>
      </c>
      <c r="C43" t="s">
        <v>131</v>
      </c>
      <c r="D43" t="s">
        <v>68</v>
      </c>
      <c r="E43" t="s">
        <v>69</v>
      </c>
      <c r="F43" t="s">
        <v>159</v>
      </c>
      <c r="G43">
        <f>SUMIFS(tblTransactions[Quantity],tblTransactions[Symbol],Calculations!A43,tblTransactions[Buy/Sell],"Buy")-SUMIFS(tblTransactions[Quantity],tblTransactions[Symbol],Calculations!A43,tblTransactions[Buy/Sell],"Sell")</f>
        <v>3</v>
      </c>
      <c r="H43">
        <f>_xlfn.XLOOKUP(Calculations!A43,tblPrices[Symbol],tblPrices[Current price],"")</f>
        <v>2046.7</v>
      </c>
      <c r="I43">
        <f t="shared" si="3"/>
        <v>6140.1</v>
      </c>
      <c r="J43" cm="1">
        <f t="array" ref="J43">IFERROR(
SUMPRODUCT(
(tblTransactions[Symbol]=Calculations!A43)*
(tblTransactions[Buy/Sell]="Buy")*
(tblTransactions[Quantity])*
(tblTransactions[Price/Share])
)
/
SUMIFS(tblTransactions[Quantity],
tblTransactions[Symbol],Calculations!A43,
tblTransactions[Buy/Sell],"Buy"),0)</f>
        <v>3950</v>
      </c>
      <c r="K43">
        <f t="shared" si="4"/>
        <v>-5709.9</v>
      </c>
      <c r="L43" s="41">
        <f t="shared" si="5"/>
        <v>-0.48184810126582278</v>
      </c>
    </row>
    <row r="44" spans="1:12" x14ac:dyDescent="0.3">
      <c r="A44">
        <v>43</v>
      </c>
      <c r="B44" t="s">
        <v>132</v>
      </c>
      <c r="C44" t="s">
        <v>133</v>
      </c>
      <c r="D44" t="s">
        <v>23</v>
      </c>
      <c r="E44" t="s">
        <v>134</v>
      </c>
      <c r="F44" t="s">
        <v>159</v>
      </c>
      <c r="G44">
        <f>SUMIFS(tblTransactions[Quantity],tblTransactions[Symbol],Calculations!A44,tblTransactions[Buy/Sell],"Buy")-SUMIFS(tblTransactions[Quantity],tblTransactions[Symbol],Calculations!A44,tblTransactions[Buy/Sell],"Sell")</f>
        <v>0</v>
      </c>
      <c r="H44">
        <f>_xlfn.XLOOKUP(Calculations!A44,tblPrices[Symbol],tblPrices[Current price],"")</f>
        <v>1097.9000000000001</v>
      </c>
      <c r="I44">
        <f t="shared" si="3"/>
        <v>0</v>
      </c>
      <c r="J44" cm="1">
        <f t="array" ref="J44">IFERROR(
SUMPRODUCT(
(tblTransactions[Symbol]=Calculations!A44)*
(tblTransactions[Buy/Sell]="Buy")*
(tblTransactions[Quantity])*
(tblTransactions[Price/Share])
)
/
SUMIFS(tblTransactions[Quantity],
tblTransactions[Symbol],Calculations!A44,
tblTransactions[Buy/Sell],"Buy"),0)</f>
        <v>0</v>
      </c>
      <c r="K44">
        <f t="shared" si="4"/>
        <v>0</v>
      </c>
      <c r="L44" s="41">
        <f t="shared" si="5"/>
        <v>0</v>
      </c>
    </row>
    <row r="45" spans="1:12" x14ac:dyDescent="0.3">
      <c r="A45">
        <v>44</v>
      </c>
      <c r="B45" t="s">
        <v>135</v>
      </c>
      <c r="C45" t="s">
        <v>136</v>
      </c>
      <c r="D45" t="s">
        <v>31</v>
      </c>
      <c r="E45" t="s">
        <v>137</v>
      </c>
      <c r="F45" t="s">
        <v>159</v>
      </c>
      <c r="G45">
        <f>SUMIFS(tblTransactions[Quantity],tblTransactions[Symbol],Calculations!A45,tblTransactions[Buy/Sell],"Buy")-SUMIFS(tblTransactions[Quantity],tblTransactions[Symbol],Calculations!A45,tblTransactions[Buy/Sell],"Sell")</f>
        <v>0</v>
      </c>
      <c r="H45">
        <f>_xlfn.XLOOKUP(Calculations!A45,tblPrices[Symbol],tblPrices[Current price],"")</f>
        <v>0</v>
      </c>
      <c r="I45">
        <f t="shared" si="3"/>
        <v>0</v>
      </c>
      <c r="J45" cm="1">
        <f t="array" ref="J45">IFERROR(
SUMPRODUCT(
(tblTransactions[Symbol]=Calculations!A45)*
(tblTransactions[Buy/Sell]="Buy")*
(tblTransactions[Quantity])*
(tblTransactions[Price/Share])
)
/
SUMIFS(tblTransactions[Quantity],
tblTransactions[Symbol],Calculations!A45,
tblTransactions[Buy/Sell],"Buy"),0)</f>
        <v>0</v>
      </c>
      <c r="K45">
        <f t="shared" si="4"/>
        <v>0</v>
      </c>
      <c r="L45" s="41">
        <f t="shared" si="5"/>
        <v>0</v>
      </c>
    </row>
    <row r="46" spans="1:12" x14ac:dyDescent="0.3">
      <c r="A46">
        <v>45</v>
      </c>
      <c r="B46" t="s">
        <v>138</v>
      </c>
      <c r="C46" t="s">
        <v>139</v>
      </c>
      <c r="D46" t="s">
        <v>64</v>
      </c>
      <c r="E46" t="s">
        <v>94</v>
      </c>
      <c r="F46" t="s">
        <v>159</v>
      </c>
      <c r="G46">
        <f>SUMIFS(tblTransactions[Quantity],tblTransactions[Symbol],Calculations!A46,tblTransactions[Buy/Sell],"Buy")-SUMIFS(tblTransactions[Quantity],tblTransactions[Symbol],Calculations!A46,tblTransactions[Buy/Sell],"Sell")</f>
        <v>0</v>
      </c>
      <c r="H46">
        <f>_xlfn.XLOOKUP(Calculations!A46,tblPrices[Symbol],tblPrices[Current price],"")</f>
        <v>186.68</v>
      </c>
      <c r="I46">
        <f t="shared" si="3"/>
        <v>0</v>
      </c>
      <c r="J46" cm="1">
        <f t="array" ref="J46">IFERROR(
SUMPRODUCT(
(tblTransactions[Symbol]=Calculations!A46)*
(tblTransactions[Buy/Sell]="Buy")*
(tblTransactions[Quantity])*
(tblTransactions[Price/Share])
)
/
SUMIFS(tblTransactions[Quantity],
tblTransactions[Symbol],Calculations!A46,
tblTransactions[Buy/Sell],"Buy"),0)</f>
        <v>0</v>
      </c>
      <c r="K46">
        <f t="shared" si="4"/>
        <v>0</v>
      </c>
      <c r="L46" s="41">
        <f t="shared" si="5"/>
        <v>0</v>
      </c>
    </row>
    <row r="47" spans="1:12" x14ac:dyDescent="0.3">
      <c r="A47">
        <v>46</v>
      </c>
      <c r="B47" t="s">
        <v>140</v>
      </c>
      <c r="C47" t="s">
        <v>141</v>
      </c>
      <c r="D47" t="s">
        <v>68</v>
      </c>
      <c r="E47" t="s">
        <v>69</v>
      </c>
      <c r="F47" t="s">
        <v>159</v>
      </c>
      <c r="G47">
        <f>SUMIFS(tblTransactions[Quantity],tblTransactions[Symbol],Calculations!A47,tblTransactions[Buy/Sell],"Buy")-SUMIFS(tblTransactions[Quantity],tblTransactions[Symbol],Calculations!A47,tblTransactions[Buy/Sell],"Sell")</f>
        <v>0</v>
      </c>
      <c r="H47">
        <f>_xlfn.XLOOKUP(Calculations!A47,tblPrices[Symbol],tblPrices[Current price],"")</f>
        <v>1398</v>
      </c>
      <c r="I47">
        <f t="shared" si="3"/>
        <v>0</v>
      </c>
      <c r="J47" cm="1">
        <f t="array" ref="J47">IFERROR(
SUMPRODUCT(
(tblTransactions[Symbol]=Calculations!A47)*
(tblTransactions[Buy/Sell]="Buy")*
(tblTransactions[Quantity])*
(tblTransactions[Price/Share])
)
/
SUMIFS(tblTransactions[Quantity],
tblTransactions[Symbol],Calculations!A47,
tblTransactions[Buy/Sell],"Buy"),0)</f>
        <v>0</v>
      </c>
      <c r="K47">
        <f t="shared" si="4"/>
        <v>0</v>
      </c>
      <c r="L47" s="41">
        <f t="shared" si="5"/>
        <v>0</v>
      </c>
    </row>
    <row r="48" spans="1:12" x14ac:dyDescent="0.3">
      <c r="A48">
        <v>47</v>
      </c>
      <c r="B48" t="s">
        <v>142</v>
      </c>
      <c r="C48" t="s">
        <v>143</v>
      </c>
      <c r="D48" t="s">
        <v>144</v>
      </c>
      <c r="E48" t="s">
        <v>145</v>
      </c>
      <c r="F48" t="s">
        <v>159</v>
      </c>
      <c r="G48">
        <f>SUMIFS(tblTransactions[Quantity],tblTransactions[Symbol],Calculations!A48,tblTransactions[Buy/Sell],"Buy")-SUMIFS(tblTransactions[Quantity],tblTransactions[Symbol],Calculations!A48,tblTransactions[Buy/Sell],"Sell")</f>
        <v>0</v>
      </c>
      <c r="H48">
        <f>_xlfn.XLOOKUP(Calculations!A48,tblPrices[Symbol],tblPrices[Current price],"")</f>
        <v>4406.2</v>
      </c>
      <c r="I48">
        <f t="shared" si="3"/>
        <v>0</v>
      </c>
      <c r="J48" cm="1">
        <f t="array" ref="J48">IFERROR(
SUMPRODUCT(
(tblTransactions[Symbol]=Calculations!A48)*
(tblTransactions[Buy/Sell]="Buy")*
(tblTransactions[Quantity])*
(tblTransactions[Price/Share])
)
/
SUMIFS(tblTransactions[Quantity],
tblTransactions[Symbol],Calculations!A48,
tblTransactions[Buy/Sell],"Buy"),0)</f>
        <v>0</v>
      </c>
      <c r="K48">
        <f t="shared" si="4"/>
        <v>0</v>
      </c>
      <c r="L48" s="41">
        <f t="shared" si="5"/>
        <v>0</v>
      </c>
    </row>
    <row r="49" spans="1:12" x14ac:dyDescent="0.3">
      <c r="A49">
        <v>48</v>
      </c>
      <c r="B49" t="s">
        <v>146</v>
      </c>
      <c r="C49" t="s">
        <v>147</v>
      </c>
      <c r="D49" t="s">
        <v>144</v>
      </c>
      <c r="E49" t="s">
        <v>148</v>
      </c>
      <c r="F49" t="s">
        <v>159</v>
      </c>
      <c r="G49">
        <f>SUMIFS(tblTransactions[Quantity],tblTransactions[Symbol],Calculations!A49,tblTransactions[Buy/Sell],"Buy")-SUMIFS(tblTransactions[Quantity],tblTransactions[Symbol],Calculations!A49,tblTransactions[Buy/Sell],"Sell")</f>
        <v>0</v>
      </c>
      <c r="H49">
        <f>_xlfn.XLOOKUP(Calculations!A49,tblPrices[Symbol],tblPrices[Current price],"")</f>
        <v>3290.4</v>
      </c>
      <c r="I49">
        <f t="shared" si="3"/>
        <v>0</v>
      </c>
      <c r="J49" cm="1">
        <f t="array" ref="J49">IFERROR(
SUMPRODUCT(
(tblTransactions[Symbol]=Calculations!A49)*
(tblTransactions[Buy/Sell]="Buy")*
(tblTransactions[Quantity])*
(tblTransactions[Price/Share])
)
/
SUMIFS(tblTransactions[Quantity],
tblTransactions[Symbol],Calculations!A49,
tblTransactions[Buy/Sell],"Buy"),0)</f>
        <v>0</v>
      </c>
      <c r="K49">
        <f t="shared" si="4"/>
        <v>0</v>
      </c>
      <c r="L49" s="41">
        <f t="shared" si="5"/>
        <v>0</v>
      </c>
    </row>
    <row r="50" spans="1:12" x14ac:dyDescent="0.3">
      <c r="A50">
        <v>49</v>
      </c>
      <c r="B50" t="s">
        <v>149</v>
      </c>
      <c r="C50" t="s">
        <v>150</v>
      </c>
      <c r="D50" t="s">
        <v>64</v>
      </c>
      <c r="E50" t="s">
        <v>151</v>
      </c>
      <c r="F50" t="s">
        <v>159</v>
      </c>
      <c r="G50">
        <f>SUMIFS(tblTransactions[Quantity],tblTransactions[Symbol],Calculations!A50,tblTransactions[Buy/Sell],"Buy")-SUMIFS(tblTransactions[Quantity],tblTransactions[Symbol],Calculations!A50,tblTransactions[Buy/Sell],"Sell")</f>
        <v>0</v>
      </c>
      <c r="H50">
        <f>_xlfn.XLOOKUP(Calculations!A50,tblPrices[Symbol],tblPrices[Current price],"")</f>
        <v>11551</v>
      </c>
      <c r="I50">
        <f t="shared" si="3"/>
        <v>0</v>
      </c>
      <c r="J50" cm="1">
        <f t="array" ref="J50">IFERROR(
SUMPRODUCT(
(tblTransactions[Symbol]=Calculations!A50)*
(tblTransactions[Buy/Sell]="Buy")*
(tblTransactions[Quantity])*
(tblTransactions[Price/Share])
)
/
SUMIFS(tblTransactions[Quantity],
tblTransactions[Symbol],Calculations!A50,
tblTransactions[Buy/Sell],"Buy"),0)</f>
        <v>0</v>
      </c>
      <c r="K50">
        <f t="shared" si="4"/>
        <v>0</v>
      </c>
      <c r="L50" s="41">
        <f t="shared" si="5"/>
        <v>0</v>
      </c>
    </row>
    <row r="51" spans="1:12" x14ac:dyDescent="0.3">
      <c r="A51">
        <v>50</v>
      </c>
      <c r="B51" t="s">
        <v>152</v>
      </c>
      <c r="C51" t="s">
        <v>153</v>
      </c>
      <c r="D51" t="s">
        <v>68</v>
      </c>
      <c r="E51" t="s">
        <v>69</v>
      </c>
      <c r="F51" t="s">
        <v>159</v>
      </c>
      <c r="G51">
        <f>SUMIFS(tblTransactions[Quantity],tblTransactions[Symbol],Calculations!A51,tblTransactions[Buy/Sell],"Buy")-SUMIFS(tblTransactions[Quantity],tblTransactions[Symbol],Calculations!A51,tblTransactions[Buy/Sell],"Sell")</f>
        <v>0</v>
      </c>
      <c r="H51">
        <f>_xlfn.XLOOKUP(Calculations!A51,tblPrices[Symbol],tblPrices[Current price],"")</f>
        <v>173.92</v>
      </c>
      <c r="I51">
        <f t="shared" si="3"/>
        <v>0</v>
      </c>
      <c r="J51" cm="1">
        <f t="array" ref="J51">IFERROR(
SUMPRODUCT(
(tblTransactions[Symbol]=Calculations!A51)*
(tblTransactions[Buy/Sell]="Buy")*
(tblTransactions[Quantity])*
(tblTransactions[Price/Share])
)
/
SUMIFS(tblTransactions[Quantity],
tblTransactions[Symbol],Calculations!A51,
tblTransactions[Buy/Sell],"Buy"),0)</f>
        <v>0</v>
      </c>
      <c r="K51">
        <f t="shared" si="4"/>
        <v>0</v>
      </c>
      <c r="L51" s="41">
        <f t="shared" si="5"/>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Props1.xml><?xml version="1.0" encoding="utf-8"?>
<ds:datastoreItem xmlns:ds="http://schemas.openxmlformats.org/officeDocument/2006/customXml" ds:itemID="{28A85817-A1D1-43DB-BAC7-00347120FE36}">
  <ds:schemaRefs/>
</ds:datastoreItem>
</file>

<file path=customXml/itemProps2.xml><?xml version="1.0" encoding="utf-8"?>
<ds:datastoreItem xmlns:ds="http://schemas.openxmlformats.org/officeDocument/2006/customXml" ds:itemID="{E6CB3B4B-2E8D-4EBE-9664-52430857ED51}">
  <ds:schemaRefs/>
</ds:datastoreItem>
</file>

<file path=customXml/itemProps3.xml><?xml version="1.0" encoding="utf-8"?>
<ds:datastoreItem xmlns:ds="http://schemas.openxmlformats.org/officeDocument/2006/customXml" ds:itemID="{3C759B55-6689-4DEC-A950-FDFA35DB7061}">
  <ds:schemaRefs/>
</ds:datastoreItem>
</file>

<file path=customXml/itemProps4.xml><?xml version="1.0" encoding="utf-8"?>
<ds:datastoreItem xmlns:ds="http://schemas.openxmlformats.org/officeDocument/2006/customXml" ds:itemID="{9C47796F-CEED-4A5F-B9ED-65369820706C}">
  <ds:schemaRefs/>
</ds:datastoreItem>
</file>

<file path=customXml/itemProps5.xml><?xml version="1.0" encoding="utf-8"?>
<ds:datastoreItem xmlns:ds="http://schemas.openxmlformats.org/officeDocument/2006/customXml" ds:itemID="{23D02432-CC46-4513-923B-8903D7D8359D}">
  <ds:schemaRefs/>
</ds:datastoreItem>
</file>

<file path=customXml/itemProps6.xml><?xml version="1.0" encoding="utf-8"?>
<ds:datastoreItem xmlns:ds="http://schemas.openxmlformats.org/officeDocument/2006/customXml" ds:itemID="{03919CD8-3F79-4148-AC46-B99383876A8A}">
  <ds:schemaRefs/>
</ds:datastoreItem>
</file>

<file path=customXml/itemProps7.xml><?xml version="1.0" encoding="utf-8"?>
<ds:datastoreItem xmlns:ds="http://schemas.openxmlformats.org/officeDocument/2006/customXml" ds:itemID="{2AC95510-89CE-4D1E-B876-A03D8387764A}">
  <ds:schemaRefs/>
</ds:datastoreItem>
</file>

<file path=customXml/itemProps8.xml><?xml version="1.0" encoding="utf-8"?>
<ds:datastoreItem xmlns:ds="http://schemas.openxmlformats.org/officeDocument/2006/customXml" ds:itemID="{B2FD4019-2AB4-4A04-BDBA-E768A9A1EF98}">
  <ds:schemaRefs/>
</ds:datastoreItem>
</file>

<file path=customXml/itemProps9.xml><?xml version="1.0" encoding="utf-8"?>
<ds:datastoreItem xmlns:ds="http://schemas.openxmlformats.org/officeDocument/2006/customXml" ds:itemID="{70EC3A15-8BDE-4596-A9FC-1484C9D40EC1}">
  <ds:schemaRefs/>
</ds:datastoreItem>
</file>

<file path=customXml/itemProps10.xml><?xml version="1.0" encoding="utf-8"?>
<ds:datastoreItem xmlns:ds="http://schemas.openxmlformats.org/officeDocument/2006/customXml" ds:itemID="{605F02AE-739F-434A-A7F9-40C6E4647CB2}">
  <ds:schemaRefs/>
</ds:datastoreItem>
</file>

<file path=customXml/itemProps11.xml><?xml version="1.0" encoding="utf-8"?>
<ds:datastoreItem xmlns:ds="http://schemas.openxmlformats.org/officeDocument/2006/customXml" ds:itemID="{AF5180AA-9B0E-41E0-920A-6758DE797CB2}">
  <ds:schemaRefs/>
</ds:datastoreItem>
</file>

<file path=customXml/itemProps12.xml><?xml version="1.0" encoding="utf-8"?>
<ds:datastoreItem xmlns:ds="http://schemas.openxmlformats.org/officeDocument/2006/customXml" ds:itemID="{48ABCE79-E77F-4E49-921C-6AFB1B2AEC7F}">
  <ds:schemaRefs/>
</ds:datastoreItem>
</file>

<file path=customXml/itemProps13.xml><?xml version="1.0" encoding="utf-8"?>
<ds:datastoreItem xmlns:ds="http://schemas.openxmlformats.org/officeDocument/2006/customXml" ds:itemID="{8DF69B3A-D3A8-45BB-AA71-7764041F6B69}">
  <ds:schemaRefs/>
</ds:datastoreItem>
</file>

<file path=customXml/itemProps14.xml><?xml version="1.0" encoding="utf-8"?>
<ds:datastoreItem xmlns:ds="http://schemas.openxmlformats.org/officeDocument/2006/customXml" ds:itemID="{D7902379-2A4E-4646-85F8-E4E61C4701EC}">
  <ds:schemaRefs/>
</ds:datastoreItem>
</file>

<file path=customXml/itemProps15.xml><?xml version="1.0" encoding="utf-8"?>
<ds:datastoreItem xmlns:ds="http://schemas.openxmlformats.org/officeDocument/2006/customXml" ds:itemID="{7B1A080C-7611-46A7-A7E1-D0B99C23E460}">
  <ds:schemaRefs/>
</ds:datastoreItem>
</file>

<file path=customXml/itemProps16.xml><?xml version="1.0" encoding="utf-8"?>
<ds:datastoreItem xmlns:ds="http://schemas.openxmlformats.org/officeDocument/2006/customXml" ds:itemID="{0DE5AE54-B89E-4025-9F8D-DE39C8827633}">
  <ds:schemaRefs/>
</ds:datastoreItem>
</file>

<file path=customXml/itemProps17.xml><?xml version="1.0" encoding="utf-8"?>
<ds:datastoreItem xmlns:ds="http://schemas.openxmlformats.org/officeDocument/2006/customXml" ds:itemID="{9A3F8D5E-D347-4104-B4A6-9C1586905D46}">
  <ds:schemaRefs/>
</ds:datastoreItem>
</file>

<file path=customXml/itemProps18.xml><?xml version="1.0" encoding="utf-8"?>
<ds:datastoreItem xmlns:ds="http://schemas.openxmlformats.org/officeDocument/2006/customXml" ds:itemID="{2A9B4E3A-29CC-424D-A52F-CAF2B638F878}">
  <ds:schemaRefs/>
</ds:datastoreItem>
</file>

<file path=customXml/itemProps19.xml><?xml version="1.0" encoding="utf-8"?>
<ds:datastoreItem xmlns:ds="http://schemas.openxmlformats.org/officeDocument/2006/customXml" ds:itemID="{42CF79D2-A8E6-42B1-A055-15C8EF3D5144}">
  <ds:schemaRefs/>
</ds:datastoreItem>
</file>

<file path=customXml/itemProps20.xml><?xml version="1.0" encoding="utf-8"?>
<ds:datastoreItem xmlns:ds="http://schemas.openxmlformats.org/officeDocument/2006/customXml" ds:itemID="{46758924-5CF0-415D-9851-A81D7BB6D2BE}">
  <ds:schemaRefs/>
</ds:datastoreItem>
</file>

<file path=customXml/itemProps21.xml><?xml version="1.0" encoding="utf-8"?>
<ds:datastoreItem xmlns:ds="http://schemas.openxmlformats.org/officeDocument/2006/customXml" ds:itemID="{7B5C14D0-F2B2-4C68-B733-73C6666C0C53}">
  <ds:schemaRefs/>
</ds:datastoreItem>
</file>

<file path=customXml/itemProps22.xml><?xml version="1.0" encoding="utf-8"?>
<ds:datastoreItem xmlns:ds="http://schemas.openxmlformats.org/officeDocument/2006/customXml" ds:itemID="{A88C40FB-DFAB-480E-A7F9-3776ABD1C9AE}">
  <ds:schemaRefs/>
</ds:datastoreItem>
</file>

<file path=customXml/itemProps23.xml><?xml version="1.0" encoding="utf-8"?>
<ds:datastoreItem xmlns:ds="http://schemas.openxmlformats.org/officeDocument/2006/customXml" ds:itemID="{D19B688F-080D-4D3C-BE59-C70CFF3D24ED}">
  <ds:schemaRefs/>
</ds:datastoreItem>
</file>

<file path=customXml/itemProps24.xml><?xml version="1.0" encoding="utf-8"?>
<ds:datastoreItem xmlns:ds="http://schemas.openxmlformats.org/officeDocument/2006/customXml" ds:itemID="{1842B63C-141A-4588-8BAC-29892338885D}">
  <ds:schemaRefs/>
</ds:datastoreItem>
</file>

<file path=customXml/itemProps25.xml><?xml version="1.0" encoding="utf-8"?>
<ds:datastoreItem xmlns:ds="http://schemas.openxmlformats.org/officeDocument/2006/customXml" ds:itemID="{6A18B443-7E20-4F23-8514-48ED18D46942}">
  <ds:schemaRefs/>
</ds:datastoreItem>
</file>

<file path=customXml/itemProps26.xml><?xml version="1.0" encoding="utf-8"?>
<ds:datastoreItem xmlns:ds="http://schemas.openxmlformats.org/officeDocument/2006/customXml" ds:itemID="{EE825290-3388-4C0D-8705-E75E12FDD346}">
  <ds:schemaRefs/>
</ds:datastoreItem>
</file>

<file path=customXml/itemProps27.xml><?xml version="1.0" encoding="utf-8"?>
<ds:datastoreItem xmlns:ds="http://schemas.openxmlformats.org/officeDocument/2006/customXml" ds:itemID="{FCAA5300-CFE6-4811-934E-B28B280F74EC}">
  <ds:schemaRefs/>
</ds:datastoreItem>
</file>

<file path=customXml/itemProps28.xml><?xml version="1.0" encoding="utf-8"?>
<ds:datastoreItem xmlns:ds="http://schemas.openxmlformats.org/officeDocument/2006/customXml" ds:itemID="{CA25AD0E-DCA2-499B-AEBC-F8BBE84E9D84}">
  <ds:schemaRefs/>
</ds:datastoreItem>
</file>

<file path=customXml/itemProps29.xml><?xml version="1.0" encoding="utf-8"?>
<ds:datastoreItem xmlns:ds="http://schemas.openxmlformats.org/officeDocument/2006/customXml" ds:itemID="{7F72AB2A-188F-48A9-87DA-44E895DCBA4A}">
  <ds:schemaRefs/>
</ds:datastoreItem>
</file>

<file path=customXml/itemProps30.xml><?xml version="1.0" encoding="utf-8"?>
<ds:datastoreItem xmlns:ds="http://schemas.openxmlformats.org/officeDocument/2006/customXml" ds:itemID="{0E4E5B04-B900-4D1E-8D66-31B57D012589}">
  <ds:schemaRefs/>
</ds:datastoreItem>
</file>

<file path=customXml/itemProps31.xml><?xml version="1.0" encoding="utf-8"?>
<ds:datastoreItem xmlns:ds="http://schemas.openxmlformats.org/officeDocument/2006/customXml" ds:itemID="{D5E3A2EB-E04F-4124-A94B-E9E055E255E3}">
  <ds:schemaRefs/>
</ds:datastoreItem>
</file>

<file path=customXml/itemProps32.xml><?xml version="1.0" encoding="utf-8"?>
<ds:datastoreItem xmlns:ds="http://schemas.openxmlformats.org/officeDocument/2006/customXml" ds:itemID="{E9899DB0-5811-45AE-8514-C589510FF9B6}">
  <ds:schemaRefs/>
</ds:datastoreItem>
</file>

<file path=customXml/itemProps33.xml><?xml version="1.0" encoding="utf-8"?>
<ds:datastoreItem xmlns:ds="http://schemas.openxmlformats.org/officeDocument/2006/customXml" ds:itemID="{7751C975-9101-4083-83C6-3550D8643832}">
  <ds:schemaRefs/>
</ds:datastoreItem>
</file>

<file path=customXml/itemProps34.xml><?xml version="1.0" encoding="utf-8"?>
<ds:datastoreItem xmlns:ds="http://schemas.openxmlformats.org/officeDocument/2006/customXml" ds:itemID="{5FA00BD3-5F27-4CE2-90C2-CD52B396427D}">
  <ds:schemaRefs/>
</ds:datastoreItem>
</file>

<file path=customXml/itemProps35.xml><?xml version="1.0" encoding="utf-8"?>
<ds:datastoreItem xmlns:ds="http://schemas.openxmlformats.org/officeDocument/2006/customXml" ds:itemID="{8A0047C2-0D33-4DC1-8F67-5E2047DBEF33}">
  <ds:schemaRefs/>
</ds:datastoreItem>
</file>

<file path=customXml/itemProps36.xml><?xml version="1.0" encoding="utf-8"?>
<ds:datastoreItem xmlns:ds="http://schemas.openxmlformats.org/officeDocument/2006/customXml" ds:itemID="{196EDB89-B731-4110-AFA2-5D6AEDDE4078}">
  <ds:schemaRefs/>
</ds:datastoreItem>
</file>

<file path=customXml/itemProps37.xml><?xml version="1.0" encoding="utf-8"?>
<ds:datastoreItem xmlns:ds="http://schemas.openxmlformats.org/officeDocument/2006/customXml" ds:itemID="{F854EE32-C3F1-4E86-BCD7-BEC95DF93D0E}">
  <ds:schemaRefs/>
</ds:datastoreItem>
</file>

<file path=customXml/itemProps38.xml><?xml version="1.0" encoding="utf-8"?>
<ds:datastoreItem xmlns:ds="http://schemas.openxmlformats.org/officeDocument/2006/customXml" ds:itemID="{4661B337-8919-4E1A-938C-CE6A044E75C6}">
  <ds:schemaRefs/>
</ds:datastoreItem>
</file>

<file path=customXml/itemProps39.xml><?xml version="1.0" encoding="utf-8"?>
<ds:datastoreItem xmlns:ds="http://schemas.openxmlformats.org/officeDocument/2006/customXml" ds:itemID="{99A7D1F1-AF8D-4B7C-833B-807CEBBB9C7E}">
  <ds:schemaRefs/>
</ds:datastoreItem>
</file>

<file path=customXml/itemProps40.xml><?xml version="1.0" encoding="utf-8"?>
<ds:datastoreItem xmlns:ds="http://schemas.openxmlformats.org/officeDocument/2006/customXml" ds:itemID="{7C9C054A-ACCA-49DE-882A-087694E3B4AF}">
  <ds:schemaRefs/>
</ds:datastoreItem>
</file>

<file path=customXml/itemProps41.xml><?xml version="1.0" encoding="utf-8"?>
<ds:datastoreItem xmlns:ds="http://schemas.openxmlformats.org/officeDocument/2006/customXml" ds:itemID="{22F99B4E-E1B6-4941-918B-F7A334EC59C5}">
  <ds:schemaRefs/>
</ds:datastoreItem>
</file>

<file path=customXml/itemProps42.xml><?xml version="1.0" encoding="utf-8"?>
<ds:datastoreItem xmlns:ds="http://schemas.openxmlformats.org/officeDocument/2006/customXml" ds:itemID="{7F37621E-A153-4D71-8720-6BDF78CEE30D}">
  <ds:schemaRefs/>
</ds:datastoreItem>
</file>

<file path=customXml/itemProps43.xml><?xml version="1.0" encoding="utf-8"?>
<ds:datastoreItem xmlns:ds="http://schemas.openxmlformats.org/officeDocument/2006/customXml" ds:itemID="{2DA1710F-FDA7-4E76-8C2B-920787D54D7E}">
  <ds:schemaRefs/>
</ds:datastoreItem>
</file>

<file path=customXml/itemProps44.xml><?xml version="1.0" encoding="utf-8"?>
<ds:datastoreItem xmlns:ds="http://schemas.openxmlformats.org/officeDocument/2006/customXml" ds:itemID="{84C38B77-DEB5-4309-A431-8396A286F1E9}">
  <ds:schemaRefs/>
</ds:datastoreItem>
</file>

<file path=customXml/itemProps45.xml><?xml version="1.0" encoding="utf-8"?>
<ds:datastoreItem xmlns:ds="http://schemas.openxmlformats.org/officeDocument/2006/customXml" ds:itemID="{16B2E146-56D8-4089-9DC7-A807991A2A07}">
  <ds:schemaRefs/>
</ds:datastoreItem>
</file>

<file path=customXml/itemProps46.xml><?xml version="1.0" encoding="utf-8"?>
<ds:datastoreItem xmlns:ds="http://schemas.openxmlformats.org/officeDocument/2006/customXml" ds:itemID="{24ECE40E-8435-4D65-A9E9-47B78E9E66D9}">
  <ds:schemaRefs/>
</ds:datastoreItem>
</file>

<file path=customXml/itemProps47.xml><?xml version="1.0" encoding="utf-8"?>
<ds:datastoreItem xmlns:ds="http://schemas.openxmlformats.org/officeDocument/2006/customXml" ds:itemID="{1FDAEBCD-FCB4-4281-88E3-23BE07079006}">
  <ds:schemaRefs/>
</ds:datastoreItem>
</file>

<file path=customXml/itemProps48.xml><?xml version="1.0" encoding="utf-8"?>
<ds:datastoreItem xmlns:ds="http://schemas.openxmlformats.org/officeDocument/2006/customXml" ds:itemID="{053BAC6D-31C2-4821-94D6-D91BACF4F0F8}">
  <ds:schemaRefs/>
</ds:datastoreItem>
</file>

<file path=customXml/itemProps49.xml><?xml version="1.0" encoding="utf-8"?>
<ds:datastoreItem xmlns:ds="http://schemas.openxmlformats.org/officeDocument/2006/customXml" ds:itemID="{B6522E4D-C479-4CB8-A87A-AC6289A18631}">
  <ds:schemaRefs/>
</ds:datastoreItem>
</file>

<file path=customXml/itemProps50.xml><?xml version="1.0" encoding="utf-8"?>
<ds:datastoreItem xmlns:ds="http://schemas.openxmlformats.org/officeDocument/2006/customXml" ds:itemID="{DF498C97-289F-40A1-97EE-065BFC3D5A47}">
  <ds:schemaRefs/>
</ds:datastoreItem>
</file>

<file path=customXml/itemProps51.xml><?xml version="1.0" encoding="utf-8"?>
<ds:datastoreItem xmlns:ds="http://schemas.openxmlformats.org/officeDocument/2006/customXml" ds:itemID="{F48221B9-66A7-4A3B-B449-27F02E513D7F}">
  <ds:schemaRefs/>
</ds:datastoreItem>
</file>

<file path=customXml/itemProps52.xml><?xml version="1.0" encoding="utf-8"?>
<ds:datastoreItem xmlns:ds="http://schemas.openxmlformats.org/officeDocument/2006/customXml" ds:itemID="{2880398A-6413-4839-862F-4B0CB17F0E18}">
  <ds:schemaRefs/>
</ds:datastoreItem>
</file>

<file path=customXml/itemProps53.xml><?xml version="1.0" encoding="utf-8"?>
<ds:datastoreItem xmlns:ds="http://schemas.openxmlformats.org/officeDocument/2006/customXml" ds:itemID="{27418430-D046-4D3A-AE33-89D537265E5E}">
  <ds:schemaRefs/>
</ds:datastoreItem>
</file>

<file path=customXml/itemProps54.xml><?xml version="1.0" encoding="utf-8"?>
<ds:datastoreItem xmlns:ds="http://schemas.openxmlformats.org/officeDocument/2006/customXml" ds:itemID="{85D5DAFA-5DF9-4B55-B515-7DF9994F8725}">
  <ds:schemaRefs/>
</ds:datastoreItem>
</file>

<file path=customXml/itemProps55.xml><?xml version="1.0" encoding="utf-8"?>
<ds:datastoreItem xmlns:ds="http://schemas.openxmlformats.org/officeDocument/2006/customXml" ds:itemID="{5AA09A5E-3154-40B4-9237-26AA28DBA8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Current prices</vt:lpstr>
      <vt:lpstr>Dashboard</vt:lpstr>
      <vt:lpstr>user_input</vt:lpstr>
      <vt:lpstr>Transaction</vt:lpstr>
      <vt:lpstr>Calculations</vt:lpstr>
      <vt:lpstr>pivot_backend</vt:lpstr>
      <vt:lpstr>stock 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SRUTHI SRUTHI</dc:creator>
  <cp:lastModifiedBy>SRUTHI SRUTHI</cp:lastModifiedBy>
  <dcterms:created xsi:type="dcterms:W3CDTF">2026-06-28T05:10:05Z</dcterms:created>
  <dcterms:modified xsi:type="dcterms:W3CDTF">2026-07-03T10:51:21Z</dcterms:modified>
</cp:coreProperties>
</file>